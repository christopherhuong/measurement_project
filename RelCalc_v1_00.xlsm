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8_{8194A31E-0705-433D-AA6D-534516ED05C6}" xr6:coauthVersionLast="47" xr6:coauthVersionMax="47" xr10:uidLastSave="{00000000-0000-0000-0000-000000000000}"/>
  <bookViews>
    <workbookView xWindow="1950" yWindow="1950" windowWidth="21600" windowHeight="11385" activeTab="3" xr2:uid="{00000000-000D-0000-FFFF-FFFF00000000}"/>
  </bookViews>
  <sheets>
    <sheet name="Measurement models" sheetId="7" r:id="rId1"/>
    <sheet name="Unidimensional" sheetId="1" r:id="rId2"/>
    <sheet name="Bi-factor" sheetId="3" r:id="rId3"/>
    <sheet name="Second-order Factor " sheetId="4" r:id="rId4"/>
    <sheet name="Correlated factors" sheetId="5" r:id="rId5"/>
    <sheet name="Multidimensional Tau-eq" sheetId="6" r:id="rId6"/>
  </sheets>
  <externalReferences>
    <externalReference r:id="rId7"/>
  </externalReferences>
  <definedNames>
    <definedName name="FittedMatrix" localSheetId="2">[1]Unidimensional!#REF!</definedName>
    <definedName name="FittedMatrix" localSheetId="4">[1]Unidimensional!#REF!</definedName>
    <definedName name="FittedMatrix" localSheetId="5">[1]Unidimensional!#REF!</definedName>
    <definedName name="FittedMatrix" localSheetId="3">[1]Unidimensional!#REF!</definedName>
    <definedName name="FittedMatrix">Unidimensional!#REF!</definedName>
    <definedName name="InputBox">Unidimensional!$A$1:$I$10</definedName>
    <definedName name="ObservedMatrix" localSheetId="2">[1]Unidimensional!#REF!</definedName>
    <definedName name="ObservedMatrix" localSheetId="4">[1]Unidimensional!#REF!</definedName>
    <definedName name="ObservedMatrix" localSheetId="5">[1]Unidimensional!#REF!</definedName>
    <definedName name="ObservedMatrix" localSheetId="3">[1]Unidimensional!#REF!</definedName>
    <definedName name="ObservedMatrix">Unidimensional!#REF!</definedName>
    <definedName name="Seed" localSheetId="2">[1]Unidimensional!#REF!</definedName>
    <definedName name="Seed" localSheetId="4">[1]Unidimensional!#REF!</definedName>
    <definedName name="Seed" localSheetId="5">[1]Unidimensional!#REF!</definedName>
    <definedName name="Seed" localSheetId="3">[1]Unidimensional!#REF!</definedName>
    <definedName name="Seed">Unidimensional!#REF!</definedName>
    <definedName name="solver_adj" localSheetId="1" hidden="1">Unidimensional!$D$139,Unidimensional!$D$140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Unidimensional!$A$158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ranspose" localSheetId="2">[1]Unidimensional!#REF!</definedName>
    <definedName name="Transpose" localSheetId="4">[1]Unidimensional!#REF!</definedName>
    <definedName name="Transpose" localSheetId="5">[1]Unidimensional!#REF!</definedName>
    <definedName name="Transpose" localSheetId="3">[1]Unidimensional!#REF!</definedName>
    <definedName name="Transpose">Unidimensional!#REF!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62" i="1" l="1"/>
  <c r="A161" i="1"/>
  <c r="A160" i="1"/>
  <c r="A138" i="1"/>
  <c r="A137" i="1"/>
  <c r="A136" i="1"/>
  <c r="A114" i="1"/>
  <c r="A113" i="1"/>
  <c r="A112" i="1"/>
  <c r="A916" i="1" l="1"/>
  <c r="A915" i="1"/>
  <c r="A914" i="1"/>
  <c r="A877" i="1"/>
  <c r="A876" i="1"/>
  <c r="A875" i="1"/>
  <c r="A830" i="1"/>
  <c r="A829" i="1"/>
  <c r="A828" i="1"/>
  <c r="A264" i="1" l="1"/>
  <c r="A263" i="1"/>
  <c r="A262" i="1"/>
  <c r="A235" i="1"/>
  <c r="A234" i="1"/>
  <c r="A233" i="1"/>
  <c r="A206" i="1"/>
  <c r="A205" i="1"/>
  <c r="A204" i="1"/>
  <c r="A381" i="1" l="1"/>
  <c r="A380" i="1"/>
  <c r="A379" i="1"/>
  <c r="A348" i="1"/>
  <c r="A347" i="1"/>
  <c r="A346" i="1"/>
  <c r="A314" i="1"/>
  <c r="A313" i="1"/>
  <c r="A312" i="1"/>
  <c r="A1074" i="1" l="1"/>
  <c r="A1073" i="1"/>
  <c r="A1072" i="1"/>
  <c r="A1032" i="1"/>
  <c r="A1031" i="1"/>
  <c r="A1030" i="1"/>
  <c r="A981" i="1"/>
  <c r="A980" i="1"/>
  <c r="A979" i="1"/>
  <c r="J1085" i="1"/>
  <c r="I1084" i="1"/>
  <c r="H1083" i="1"/>
  <c r="G1082" i="1"/>
  <c r="F1081" i="1"/>
  <c r="E1080" i="1"/>
  <c r="D1079" i="1"/>
  <c r="C1078" i="1"/>
  <c r="B1077" i="1"/>
  <c r="A1076" i="1"/>
  <c r="J1046" i="1"/>
  <c r="I1045" i="1"/>
  <c r="H1044" i="1"/>
  <c r="G1043" i="1"/>
  <c r="F1042" i="1"/>
  <c r="E1041" i="1"/>
  <c r="D1040" i="1"/>
  <c r="C1039" i="1"/>
  <c r="B1038" i="1"/>
  <c r="A1037" i="1"/>
  <c r="B1037" i="1"/>
  <c r="C1037" i="1"/>
  <c r="D1037" i="1"/>
  <c r="E1037" i="1"/>
  <c r="F1037" i="1"/>
  <c r="G1037" i="1"/>
  <c r="H1037" i="1"/>
  <c r="I1037" i="1"/>
  <c r="J1037" i="1"/>
  <c r="C1038" i="1"/>
  <c r="D1038" i="1"/>
  <c r="E1038" i="1"/>
  <c r="F1038" i="1"/>
  <c r="G1038" i="1"/>
  <c r="H1038" i="1"/>
  <c r="I1038" i="1"/>
  <c r="J1038" i="1"/>
  <c r="B1039" i="1"/>
  <c r="D1039" i="1"/>
  <c r="E1039" i="1"/>
  <c r="F1039" i="1"/>
  <c r="G1039" i="1"/>
  <c r="H1039" i="1"/>
  <c r="I1039" i="1"/>
  <c r="J1039" i="1"/>
  <c r="B1040" i="1"/>
  <c r="C1040" i="1"/>
  <c r="E1040" i="1"/>
  <c r="F1040" i="1"/>
  <c r="G1040" i="1"/>
  <c r="H1040" i="1"/>
  <c r="I1040" i="1"/>
  <c r="J1040" i="1"/>
  <c r="B1041" i="1"/>
  <c r="C1041" i="1"/>
  <c r="D1041" i="1"/>
  <c r="F1041" i="1"/>
  <c r="G1041" i="1"/>
  <c r="H1041" i="1"/>
  <c r="I1041" i="1"/>
  <c r="J1041" i="1"/>
  <c r="B1042" i="1"/>
  <c r="C1042" i="1"/>
  <c r="D1042" i="1"/>
  <c r="E1042" i="1"/>
  <c r="G1042" i="1"/>
  <c r="H1042" i="1"/>
  <c r="I1042" i="1"/>
  <c r="J1042" i="1"/>
  <c r="B1043" i="1"/>
  <c r="C1043" i="1"/>
  <c r="D1043" i="1"/>
  <c r="E1043" i="1"/>
  <c r="F1043" i="1"/>
  <c r="H1043" i="1"/>
  <c r="I1043" i="1"/>
  <c r="J1043" i="1"/>
  <c r="B1044" i="1"/>
  <c r="C1044" i="1"/>
  <c r="D1044" i="1"/>
  <c r="E1044" i="1"/>
  <c r="F1044" i="1"/>
  <c r="G1044" i="1"/>
  <c r="I1044" i="1"/>
  <c r="J1044" i="1"/>
  <c r="B1045" i="1"/>
  <c r="C1045" i="1"/>
  <c r="D1045" i="1"/>
  <c r="E1045" i="1"/>
  <c r="F1045" i="1"/>
  <c r="G1045" i="1"/>
  <c r="H1045" i="1"/>
  <c r="J1045" i="1"/>
  <c r="B1046" i="1"/>
  <c r="C1046" i="1"/>
  <c r="D1046" i="1"/>
  <c r="E1046" i="1"/>
  <c r="F1046" i="1"/>
  <c r="G1046" i="1"/>
  <c r="H1046" i="1"/>
  <c r="I1046" i="1"/>
  <c r="A1038" i="1"/>
  <c r="A1039" i="1"/>
  <c r="A1040" i="1"/>
  <c r="A1041" i="1"/>
  <c r="A1042" i="1"/>
  <c r="A1043" i="1"/>
  <c r="A1044" i="1"/>
  <c r="A1045" i="1"/>
  <c r="A1046" i="1"/>
  <c r="J1004" i="1"/>
  <c r="I1003" i="1"/>
  <c r="H1002" i="1"/>
  <c r="G1001" i="1"/>
  <c r="F1000" i="1"/>
  <c r="E999" i="1"/>
  <c r="D998" i="1"/>
  <c r="C997" i="1"/>
  <c r="B996" i="1"/>
  <c r="A995" i="1"/>
  <c r="B995" i="1"/>
  <c r="C995" i="1"/>
  <c r="D995" i="1"/>
  <c r="E995" i="1"/>
  <c r="F995" i="1"/>
  <c r="G995" i="1"/>
  <c r="H995" i="1"/>
  <c r="I995" i="1"/>
  <c r="J995" i="1"/>
  <c r="C996" i="1"/>
  <c r="D996" i="1"/>
  <c r="E996" i="1"/>
  <c r="F996" i="1"/>
  <c r="G996" i="1"/>
  <c r="H996" i="1"/>
  <c r="I996" i="1"/>
  <c r="J996" i="1"/>
  <c r="B997" i="1"/>
  <c r="D997" i="1"/>
  <c r="E997" i="1"/>
  <c r="F997" i="1"/>
  <c r="G997" i="1"/>
  <c r="H997" i="1"/>
  <c r="I997" i="1"/>
  <c r="J997" i="1"/>
  <c r="B998" i="1"/>
  <c r="C998" i="1"/>
  <c r="E998" i="1"/>
  <c r="F998" i="1"/>
  <c r="G998" i="1"/>
  <c r="H998" i="1"/>
  <c r="I998" i="1"/>
  <c r="J998" i="1"/>
  <c r="B999" i="1"/>
  <c r="C999" i="1"/>
  <c r="D999" i="1"/>
  <c r="F999" i="1"/>
  <c r="G999" i="1"/>
  <c r="H999" i="1"/>
  <c r="I999" i="1"/>
  <c r="J999" i="1"/>
  <c r="B1000" i="1"/>
  <c r="C1000" i="1"/>
  <c r="D1000" i="1"/>
  <c r="E1000" i="1"/>
  <c r="G1000" i="1"/>
  <c r="H1000" i="1"/>
  <c r="I1000" i="1"/>
  <c r="J1000" i="1"/>
  <c r="B1001" i="1"/>
  <c r="C1001" i="1"/>
  <c r="D1001" i="1"/>
  <c r="E1001" i="1"/>
  <c r="F1001" i="1"/>
  <c r="H1001" i="1"/>
  <c r="I1001" i="1"/>
  <c r="J1001" i="1"/>
  <c r="B1002" i="1"/>
  <c r="C1002" i="1"/>
  <c r="D1002" i="1"/>
  <c r="E1002" i="1"/>
  <c r="F1002" i="1"/>
  <c r="G1002" i="1"/>
  <c r="I1002" i="1"/>
  <c r="J1002" i="1"/>
  <c r="B1003" i="1"/>
  <c r="C1003" i="1"/>
  <c r="D1003" i="1"/>
  <c r="E1003" i="1"/>
  <c r="F1003" i="1"/>
  <c r="G1003" i="1"/>
  <c r="H1003" i="1"/>
  <c r="J1003" i="1"/>
  <c r="B1004" i="1"/>
  <c r="C1004" i="1"/>
  <c r="D1004" i="1"/>
  <c r="E1004" i="1"/>
  <c r="F1004" i="1"/>
  <c r="G1004" i="1"/>
  <c r="H1004" i="1"/>
  <c r="I1004" i="1"/>
  <c r="A996" i="1"/>
  <c r="A997" i="1"/>
  <c r="A998" i="1"/>
  <c r="A999" i="1"/>
  <c r="A1000" i="1"/>
  <c r="A1001" i="1"/>
  <c r="A1002" i="1"/>
  <c r="A1003" i="1"/>
  <c r="A1004" i="1"/>
  <c r="A942" i="1" a="1"/>
  <c r="A942" i="1" s="1"/>
  <c r="A953" i="1" s="1"/>
  <c r="I926" i="1"/>
  <c r="H925" i="1"/>
  <c r="G924" i="1"/>
  <c r="F923" i="1"/>
  <c r="E922" i="1"/>
  <c r="D921" i="1"/>
  <c r="C920" i="1"/>
  <c r="B919" i="1"/>
  <c r="A918" i="1"/>
  <c r="I890" i="1"/>
  <c r="H890" i="1"/>
  <c r="H889" i="1"/>
  <c r="G888" i="1"/>
  <c r="F887" i="1"/>
  <c r="E886" i="1"/>
  <c r="D885" i="1"/>
  <c r="C884" i="1"/>
  <c r="B883" i="1"/>
  <c r="A882" i="1"/>
  <c r="B882" i="1"/>
  <c r="C882" i="1"/>
  <c r="D882" i="1"/>
  <c r="E882" i="1"/>
  <c r="F882" i="1"/>
  <c r="G882" i="1"/>
  <c r="H882" i="1"/>
  <c r="I882" i="1"/>
  <c r="C883" i="1"/>
  <c r="D883" i="1"/>
  <c r="E883" i="1"/>
  <c r="F883" i="1"/>
  <c r="G883" i="1"/>
  <c r="H883" i="1"/>
  <c r="I883" i="1"/>
  <c r="B884" i="1"/>
  <c r="D884" i="1"/>
  <c r="E884" i="1"/>
  <c r="F884" i="1"/>
  <c r="G884" i="1"/>
  <c r="H884" i="1"/>
  <c r="I884" i="1"/>
  <c r="B885" i="1"/>
  <c r="C885" i="1"/>
  <c r="E885" i="1"/>
  <c r="F885" i="1"/>
  <c r="G885" i="1"/>
  <c r="H885" i="1"/>
  <c r="I885" i="1"/>
  <c r="B886" i="1"/>
  <c r="C886" i="1"/>
  <c r="D886" i="1"/>
  <c r="F886" i="1"/>
  <c r="G886" i="1"/>
  <c r="H886" i="1"/>
  <c r="I886" i="1"/>
  <c r="B887" i="1"/>
  <c r="C887" i="1"/>
  <c r="D887" i="1"/>
  <c r="E887" i="1"/>
  <c r="G887" i="1"/>
  <c r="H887" i="1"/>
  <c r="I887" i="1"/>
  <c r="B888" i="1"/>
  <c r="C888" i="1"/>
  <c r="D888" i="1"/>
  <c r="E888" i="1"/>
  <c r="F888" i="1"/>
  <c r="H888" i="1"/>
  <c r="I888" i="1"/>
  <c r="B889" i="1"/>
  <c r="C889" i="1"/>
  <c r="D889" i="1"/>
  <c r="E889" i="1"/>
  <c r="F889" i="1"/>
  <c r="G889" i="1"/>
  <c r="I889" i="1"/>
  <c r="B890" i="1"/>
  <c r="C890" i="1"/>
  <c r="D890" i="1"/>
  <c r="E890" i="1"/>
  <c r="F890" i="1"/>
  <c r="G890" i="1"/>
  <c r="A883" i="1"/>
  <c r="A884" i="1"/>
  <c r="A885" i="1"/>
  <c r="A886" i="1"/>
  <c r="A887" i="1"/>
  <c r="A888" i="1"/>
  <c r="A889" i="1"/>
  <c r="A890" i="1"/>
  <c r="I851" i="1"/>
  <c r="H850" i="1"/>
  <c r="G849" i="1"/>
  <c r="F848" i="1"/>
  <c r="E847" i="1"/>
  <c r="D846" i="1"/>
  <c r="C845" i="1"/>
  <c r="B844" i="1"/>
  <c r="A843" i="1"/>
  <c r="B843" i="1"/>
  <c r="C843" i="1"/>
  <c r="D843" i="1"/>
  <c r="E843" i="1"/>
  <c r="F843" i="1"/>
  <c r="G843" i="1"/>
  <c r="H843" i="1"/>
  <c r="I843" i="1"/>
  <c r="C844" i="1"/>
  <c r="D844" i="1"/>
  <c r="E844" i="1"/>
  <c r="F844" i="1"/>
  <c r="G844" i="1"/>
  <c r="H844" i="1"/>
  <c r="I844" i="1"/>
  <c r="B845" i="1"/>
  <c r="D845" i="1"/>
  <c r="E845" i="1"/>
  <c r="F845" i="1"/>
  <c r="G845" i="1"/>
  <c r="H845" i="1"/>
  <c r="I845" i="1"/>
  <c r="B846" i="1"/>
  <c r="C846" i="1"/>
  <c r="E846" i="1"/>
  <c r="F846" i="1"/>
  <c r="G846" i="1"/>
  <c r="H846" i="1"/>
  <c r="I846" i="1"/>
  <c r="B847" i="1"/>
  <c r="C847" i="1"/>
  <c r="D847" i="1"/>
  <c r="F847" i="1"/>
  <c r="G847" i="1"/>
  <c r="H847" i="1"/>
  <c r="I847" i="1"/>
  <c r="B848" i="1"/>
  <c r="C848" i="1"/>
  <c r="D848" i="1"/>
  <c r="E848" i="1"/>
  <c r="G848" i="1"/>
  <c r="H848" i="1"/>
  <c r="I848" i="1"/>
  <c r="B849" i="1"/>
  <c r="C849" i="1"/>
  <c r="D849" i="1"/>
  <c r="E849" i="1"/>
  <c r="F849" i="1"/>
  <c r="H849" i="1"/>
  <c r="I849" i="1"/>
  <c r="B850" i="1"/>
  <c r="C850" i="1"/>
  <c r="D850" i="1"/>
  <c r="E850" i="1"/>
  <c r="F850" i="1"/>
  <c r="G850" i="1"/>
  <c r="I850" i="1"/>
  <c r="B851" i="1"/>
  <c r="C851" i="1"/>
  <c r="D851" i="1"/>
  <c r="E851" i="1"/>
  <c r="F851" i="1"/>
  <c r="G851" i="1"/>
  <c r="H851" i="1"/>
  <c r="A844" i="1"/>
  <c r="A845" i="1"/>
  <c r="A846" i="1"/>
  <c r="A847" i="1"/>
  <c r="A848" i="1"/>
  <c r="A849" i="1"/>
  <c r="A850" i="1"/>
  <c r="A851" i="1"/>
  <c r="A794" i="1" a="1"/>
  <c r="A794" i="1" s="1"/>
  <c r="A796" i="1" s="1"/>
  <c r="A770" i="1"/>
  <c r="A769" i="1"/>
  <c r="A768" i="1"/>
  <c r="A734" i="1"/>
  <c r="A733" i="1"/>
  <c r="A732" i="1"/>
  <c r="A691" i="1"/>
  <c r="A690" i="1"/>
  <c r="A689" i="1"/>
  <c r="H779" i="1"/>
  <c r="G778" i="1"/>
  <c r="F777" i="1"/>
  <c r="E776" i="1"/>
  <c r="D775" i="1"/>
  <c r="C774" i="1"/>
  <c r="B773" i="1"/>
  <c r="A772" i="1"/>
  <c r="H746" i="1"/>
  <c r="G745" i="1"/>
  <c r="F744" i="1"/>
  <c r="E743" i="1"/>
  <c r="D742" i="1"/>
  <c r="C741" i="1"/>
  <c r="B740" i="1"/>
  <c r="A739" i="1"/>
  <c r="B739" i="1"/>
  <c r="C739" i="1"/>
  <c r="D739" i="1"/>
  <c r="E739" i="1"/>
  <c r="F739" i="1"/>
  <c r="G739" i="1"/>
  <c r="H739" i="1"/>
  <c r="C740" i="1"/>
  <c r="D740" i="1"/>
  <c r="E740" i="1"/>
  <c r="F740" i="1"/>
  <c r="G740" i="1"/>
  <c r="H740" i="1"/>
  <c r="B741" i="1"/>
  <c r="D741" i="1"/>
  <c r="E741" i="1"/>
  <c r="F741" i="1"/>
  <c r="G741" i="1"/>
  <c r="H741" i="1"/>
  <c r="B742" i="1"/>
  <c r="C742" i="1"/>
  <c r="E742" i="1"/>
  <c r="F742" i="1"/>
  <c r="G742" i="1"/>
  <c r="H742" i="1"/>
  <c r="B743" i="1"/>
  <c r="C743" i="1"/>
  <c r="D743" i="1"/>
  <c r="F743" i="1"/>
  <c r="G743" i="1"/>
  <c r="H743" i="1"/>
  <c r="B744" i="1"/>
  <c r="C744" i="1"/>
  <c r="D744" i="1"/>
  <c r="E744" i="1"/>
  <c r="G744" i="1"/>
  <c r="H744" i="1"/>
  <c r="B745" i="1"/>
  <c r="C745" i="1"/>
  <c r="D745" i="1"/>
  <c r="E745" i="1"/>
  <c r="F745" i="1"/>
  <c r="H745" i="1"/>
  <c r="B746" i="1"/>
  <c r="C746" i="1"/>
  <c r="D746" i="1"/>
  <c r="E746" i="1"/>
  <c r="F746" i="1"/>
  <c r="G746" i="1"/>
  <c r="A740" i="1"/>
  <c r="A741" i="1"/>
  <c r="A742" i="1"/>
  <c r="A743" i="1"/>
  <c r="A744" i="1"/>
  <c r="A745" i="1"/>
  <c r="A746" i="1"/>
  <c r="H710" i="1"/>
  <c r="G709" i="1"/>
  <c r="E707" i="1"/>
  <c r="F708" i="1"/>
  <c r="D706" i="1"/>
  <c r="C705" i="1"/>
  <c r="B704" i="1"/>
  <c r="A703" i="1"/>
  <c r="B703" i="1"/>
  <c r="C703" i="1"/>
  <c r="D703" i="1"/>
  <c r="E703" i="1"/>
  <c r="F703" i="1"/>
  <c r="G703" i="1"/>
  <c r="H703" i="1"/>
  <c r="C704" i="1"/>
  <c r="D704" i="1"/>
  <c r="E704" i="1"/>
  <c r="F704" i="1"/>
  <c r="G704" i="1"/>
  <c r="H704" i="1"/>
  <c r="B705" i="1"/>
  <c r="D705" i="1"/>
  <c r="E705" i="1"/>
  <c r="F705" i="1"/>
  <c r="G705" i="1"/>
  <c r="H705" i="1"/>
  <c r="B706" i="1"/>
  <c r="C706" i="1"/>
  <c r="E706" i="1"/>
  <c r="F706" i="1"/>
  <c r="G706" i="1"/>
  <c r="H706" i="1"/>
  <c r="B707" i="1"/>
  <c r="C707" i="1"/>
  <c r="D707" i="1"/>
  <c r="F707" i="1"/>
  <c r="G707" i="1"/>
  <c r="H707" i="1"/>
  <c r="B708" i="1"/>
  <c r="C708" i="1"/>
  <c r="D708" i="1"/>
  <c r="E708" i="1"/>
  <c r="G708" i="1"/>
  <c r="H708" i="1"/>
  <c r="B709" i="1"/>
  <c r="C709" i="1"/>
  <c r="D709" i="1"/>
  <c r="E709" i="1"/>
  <c r="F709" i="1"/>
  <c r="H709" i="1"/>
  <c r="B710" i="1"/>
  <c r="C710" i="1"/>
  <c r="D710" i="1"/>
  <c r="E710" i="1"/>
  <c r="F710" i="1"/>
  <c r="G710" i="1"/>
  <c r="A704" i="1"/>
  <c r="A705" i="1"/>
  <c r="A706" i="1"/>
  <c r="A707" i="1"/>
  <c r="A708" i="1"/>
  <c r="A709" i="1"/>
  <c r="A710" i="1"/>
  <c r="A564" i="1"/>
  <c r="A563" i="1"/>
  <c r="A562" i="1"/>
  <c r="A658" i="1" a="1"/>
  <c r="D658" i="1" s="1"/>
  <c r="D663" i="1" s="1"/>
  <c r="A636" i="1"/>
  <c r="A635" i="1"/>
  <c r="A634" i="1"/>
  <c r="A603" i="1"/>
  <c r="A602" i="1"/>
  <c r="A601" i="1"/>
  <c r="G644" i="1"/>
  <c r="F643" i="1"/>
  <c r="E642" i="1"/>
  <c r="D641" i="1"/>
  <c r="C640" i="1"/>
  <c r="B639" i="1"/>
  <c r="A638" i="1"/>
  <c r="G614" i="1"/>
  <c r="F613" i="1"/>
  <c r="E612" i="1"/>
  <c r="D611" i="1"/>
  <c r="C610" i="1"/>
  <c r="B609" i="1"/>
  <c r="A608" i="1"/>
  <c r="B608" i="1"/>
  <c r="C608" i="1"/>
  <c r="D608" i="1"/>
  <c r="E608" i="1"/>
  <c r="F608" i="1"/>
  <c r="G608" i="1"/>
  <c r="C609" i="1"/>
  <c r="D609" i="1"/>
  <c r="E609" i="1"/>
  <c r="F609" i="1"/>
  <c r="G609" i="1"/>
  <c r="B610" i="1"/>
  <c r="D610" i="1"/>
  <c r="E610" i="1"/>
  <c r="F610" i="1"/>
  <c r="G610" i="1"/>
  <c r="B611" i="1"/>
  <c r="C611" i="1"/>
  <c r="E611" i="1"/>
  <c r="F611" i="1"/>
  <c r="G611" i="1"/>
  <c r="B612" i="1"/>
  <c r="C612" i="1"/>
  <c r="D612" i="1"/>
  <c r="F612" i="1"/>
  <c r="G612" i="1"/>
  <c r="B613" i="1"/>
  <c r="C613" i="1"/>
  <c r="D613" i="1"/>
  <c r="E613" i="1"/>
  <c r="G613" i="1"/>
  <c r="B614" i="1"/>
  <c r="C614" i="1"/>
  <c r="D614" i="1"/>
  <c r="E614" i="1"/>
  <c r="F614" i="1"/>
  <c r="A609" i="1"/>
  <c r="A610" i="1"/>
  <c r="A611" i="1"/>
  <c r="A612" i="1"/>
  <c r="A613" i="1"/>
  <c r="A614" i="1"/>
  <c r="G581" i="1"/>
  <c r="F580" i="1"/>
  <c r="E579" i="1"/>
  <c r="D578" i="1"/>
  <c r="C577" i="1"/>
  <c r="B576" i="1"/>
  <c r="A575" i="1"/>
  <c r="B575" i="1"/>
  <c r="C575" i="1"/>
  <c r="D575" i="1"/>
  <c r="E575" i="1"/>
  <c r="F575" i="1"/>
  <c r="G575" i="1"/>
  <c r="C576" i="1"/>
  <c r="D576" i="1"/>
  <c r="E576" i="1"/>
  <c r="F576" i="1"/>
  <c r="G576" i="1"/>
  <c r="B577" i="1"/>
  <c r="D577" i="1"/>
  <c r="E577" i="1"/>
  <c r="F577" i="1"/>
  <c r="G577" i="1"/>
  <c r="B578" i="1"/>
  <c r="C578" i="1"/>
  <c r="E578" i="1"/>
  <c r="F578" i="1"/>
  <c r="G578" i="1"/>
  <c r="B579" i="1"/>
  <c r="C579" i="1"/>
  <c r="D579" i="1"/>
  <c r="F579" i="1"/>
  <c r="G579" i="1"/>
  <c r="B580" i="1"/>
  <c r="C580" i="1"/>
  <c r="D580" i="1"/>
  <c r="E580" i="1"/>
  <c r="G580" i="1"/>
  <c r="B581" i="1"/>
  <c r="C581" i="1"/>
  <c r="D581" i="1"/>
  <c r="E581" i="1"/>
  <c r="F581" i="1"/>
  <c r="A576" i="1"/>
  <c r="A577" i="1"/>
  <c r="A578" i="1"/>
  <c r="A579" i="1"/>
  <c r="A580" i="1"/>
  <c r="A581" i="1"/>
  <c r="A534" i="1" a="1"/>
  <c r="C534" i="1" s="1"/>
  <c r="C538" i="1" s="1"/>
  <c r="A513" i="1"/>
  <c r="A512" i="1"/>
  <c r="A511" i="1"/>
  <c r="A476" i="1"/>
  <c r="A475" i="1"/>
  <c r="A474" i="1"/>
  <c r="A439" i="1"/>
  <c r="A438" i="1"/>
  <c r="A437" i="1"/>
  <c r="F521" i="1"/>
  <c r="E520" i="1"/>
  <c r="D519" i="1"/>
  <c r="C518" i="1"/>
  <c r="B517" i="1"/>
  <c r="A516" i="1"/>
  <c r="A480" i="1"/>
  <c r="B480" i="1"/>
  <c r="A481" i="1"/>
  <c r="B481" i="1"/>
  <c r="A482" i="1"/>
  <c r="B482" i="1"/>
  <c r="A483" i="1"/>
  <c r="B483" i="1"/>
  <c r="A484" i="1"/>
  <c r="B484" i="1"/>
  <c r="B479" i="1"/>
  <c r="A479" i="1"/>
  <c r="A443" i="1"/>
  <c r="A444" i="1"/>
  <c r="A445" i="1"/>
  <c r="A446" i="1"/>
  <c r="A447" i="1"/>
  <c r="A442" i="1"/>
  <c r="A412" i="1" a="1"/>
  <c r="D412" i="1" s="1"/>
  <c r="D415" i="1" s="1"/>
  <c r="A1087" i="1" l="1"/>
  <c r="A1048" i="1" a="1"/>
  <c r="B1048" i="1" s="1"/>
  <c r="A1006" i="1" a="1"/>
  <c r="C1006" i="1" s="1"/>
  <c r="A951" i="1"/>
  <c r="H942" i="1"/>
  <c r="H951" i="1" s="1"/>
  <c r="A947" i="1"/>
  <c r="D942" i="1"/>
  <c r="A950" i="1"/>
  <c r="A946" i="1"/>
  <c r="A944" i="1"/>
  <c r="A949" i="1"/>
  <c r="A945" i="1"/>
  <c r="H947" i="1"/>
  <c r="A952" i="1"/>
  <c r="A948" i="1"/>
  <c r="C942" i="1"/>
  <c r="J942" i="1"/>
  <c r="F942" i="1"/>
  <c r="B942" i="1"/>
  <c r="G942" i="1"/>
  <c r="I942" i="1"/>
  <c r="E942" i="1"/>
  <c r="A928" i="1"/>
  <c r="A892" i="1" a="1"/>
  <c r="A892" i="1" s="1"/>
  <c r="A853" i="1" a="1"/>
  <c r="A853" i="1" s="1"/>
  <c r="A798" i="1"/>
  <c r="A803" i="1"/>
  <c r="D794" i="1"/>
  <c r="D796" i="1" s="1"/>
  <c r="A802" i="1"/>
  <c r="B794" i="1"/>
  <c r="B796" i="1" s="1"/>
  <c r="A799" i="1"/>
  <c r="A801" i="1"/>
  <c r="A797" i="1"/>
  <c r="H794" i="1"/>
  <c r="F794" i="1"/>
  <c r="A804" i="1"/>
  <c r="A800" i="1"/>
  <c r="G794" i="1"/>
  <c r="C794" i="1"/>
  <c r="I794" i="1"/>
  <c r="E794" i="1"/>
  <c r="A781" i="1"/>
  <c r="A748" i="1" a="1"/>
  <c r="A748" i="1" s="1"/>
  <c r="A712" i="1" a="1"/>
  <c r="B712" i="1" s="1"/>
  <c r="B658" i="1"/>
  <c r="B667" i="1" s="1"/>
  <c r="D662" i="1"/>
  <c r="D666" i="1"/>
  <c r="D665" i="1"/>
  <c r="F658" i="1"/>
  <c r="F663" i="1" s="1"/>
  <c r="D667" i="1"/>
  <c r="D664" i="1"/>
  <c r="D660" i="1"/>
  <c r="D661" i="1"/>
  <c r="G658" i="1"/>
  <c r="C658" i="1"/>
  <c r="E658" i="1"/>
  <c r="A658" i="1"/>
  <c r="H658" i="1"/>
  <c r="A646" i="1"/>
  <c r="A616" i="1" a="1"/>
  <c r="D616" i="1" s="1"/>
  <c r="A583" i="1" a="1"/>
  <c r="A583" i="1" s="1"/>
  <c r="C542" i="1"/>
  <c r="C541" i="1"/>
  <c r="C540" i="1"/>
  <c r="C537" i="1"/>
  <c r="C539" i="1"/>
  <c r="C536" i="1"/>
  <c r="F534" i="1"/>
  <c r="B534" i="1"/>
  <c r="E534" i="1"/>
  <c r="A534" i="1"/>
  <c r="D534" i="1"/>
  <c r="G534" i="1"/>
  <c r="A523" i="1"/>
  <c r="A486" i="1" a="1"/>
  <c r="D486" i="1" s="1"/>
  <c r="D491" i="1" s="1"/>
  <c r="A449" i="1" a="1"/>
  <c r="D449" i="1" s="1"/>
  <c r="D451" i="1" s="1"/>
  <c r="D414" i="1"/>
  <c r="D417" i="1"/>
  <c r="D418" i="1"/>
  <c r="D416" i="1"/>
  <c r="D419" i="1"/>
  <c r="C412" i="1"/>
  <c r="C416" i="1" s="1"/>
  <c r="F412" i="1"/>
  <c r="F419" i="1" s="1"/>
  <c r="B412" i="1"/>
  <c r="B415" i="1" s="1"/>
  <c r="E412" i="1"/>
  <c r="E418" i="1" s="1"/>
  <c r="A412" i="1"/>
  <c r="A414" i="1" s="1"/>
  <c r="B1050" i="1" l="1"/>
  <c r="H1051" i="1"/>
  <c r="J1054" i="1"/>
  <c r="F1056" i="1"/>
  <c r="C1048" i="1"/>
  <c r="E1051" i="1"/>
  <c r="F1057" i="1"/>
  <c r="I1048" i="1"/>
  <c r="C1057" i="1"/>
  <c r="E1056" i="1"/>
  <c r="J1048" i="1"/>
  <c r="F1050" i="1"/>
  <c r="B1052" i="1"/>
  <c r="H1053" i="1"/>
  <c r="D1055" i="1"/>
  <c r="J1056" i="1"/>
  <c r="G1048" i="1"/>
  <c r="C1050" i="1"/>
  <c r="I1051" i="1"/>
  <c r="E1053" i="1"/>
  <c r="A1055" i="1"/>
  <c r="G1056" i="1"/>
  <c r="D1048" i="1"/>
  <c r="J1049" i="1"/>
  <c r="F1051" i="1"/>
  <c r="B1053" i="1"/>
  <c r="H1054" i="1"/>
  <c r="D1056" i="1"/>
  <c r="J1057" i="1"/>
  <c r="C1049" i="1"/>
  <c r="I1050" i="1"/>
  <c r="G1055" i="1"/>
  <c r="C1055" i="1"/>
  <c r="I1054" i="1"/>
  <c r="E1054" i="1"/>
  <c r="F1048" i="1"/>
  <c r="D1053" i="1"/>
  <c r="I1049" i="1"/>
  <c r="A1053" i="1"/>
  <c r="G1054" i="1"/>
  <c r="C1056" i="1"/>
  <c r="I1057" i="1"/>
  <c r="F1049" i="1"/>
  <c r="B1051" i="1"/>
  <c r="H1052" i="1"/>
  <c r="D1054" i="1"/>
  <c r="J1055" i="1"/>
  <c r="E1050" i="1"/>
  <c r="I1056" i="1"/>
  <c r="A1056" i="1"/>
  <c r="D1049" i="1"/>
  <c r="J1050" i="1"/>
  <c r="F1052" i="1"/>
  <c r="B1054" i="1"/>
  <c r="H1055" i="1"/>
  <c r="D1057" i="1"/>
  <c r="A1049" i="1"/>
  <c r="G1050" i="1"/>
  <c r="C1052" i="1"/>
  <c r="I1053" i="1"/>
  <c r="E1055" i="1"/>
  <c r="A1057" i="1"/>
  <c r="H1048" i="1"/>
  <c r="D1050" i="1"/>
  <c r="J1051" i="1"/>
  <c r="F1053" i="1"/>
  <c r="B1055" i="1"/>
  <c r="H1056" i="1"/>
  <c r="A1048" i="1"/>
  <c r="G1049" i="1"/>
  <c r="C1051" i="1"/>
  <c r="A1054" i="1"/>
  <c r="G1053" i="1"/>
  <c r="C1053" i="1"/>
  <c r="I1052" i="1"/>
  <c r="H1049" i="1"/>
  <c r="D1051" i="1"/>
  <c r="J1052" i="1"/>
  <c r="F1054" i="1"/>
  <c r="B1056" i="1"/>
  <c r="H1057" i="1"/>
  <c r="E1049" i="1"/>
  <c r="A1051" i="1"/>
  <c r="G1052" i="1"/>
  <c r="C1054" i="1"/>
  <c r="I1055" i="1"/>
  <c r="E1057" i="1"/>
  <c r="B1049" i="1"/>
  <c r="H1050" i="1"/>
  <c r="D1052" i="1"/>
  <c r="J1053" i="1"/>
  <c r="F1055" i="1"/>
  <c r="B1057" i="1"/>
  <c r="E1048" i="1"/>
  <c r="A1050" i="1"/>
  <c r="G1051" i="1"/>
  <c r="E1052" i="1"/>
  <c r="A1052" i="1"/>
  <c r="G1057" i="1"/>
  <c r="G1006" i="1"/>
  <c r="I1009" i="1"/>
  <c r="A1013" i="1"/>
  <c r="D1006" i="1"/>
  <c r="F1009" i="1"/>
  <c r="H1012" i="1"/>
  <c r="J1015" i="1"/>
  <c r="I1008" i="1"/>
  <c r="A1012" i="1"/>
  <c r="C1015" i="1"/>
  <c r="F1008" i="1"/>
  <c r="J1014" i="1"/>
  <c r="B1014" i="1"/>
  <c r="G1008" i="1"/>
  <c r="I1011" i="1"/>
  <c r="A1015" i="1"/>
  <c r="D1008" i="1"/>
  <c r="B1013" i="1"/>
  <c r="H1014" i="1"/>
  <c r="G1007" i="1"/>
  <c r="C1009" i="1"/>
  <c r="I1010" i="1"/>
  <c r="A1014" i="1"/>
  <c r="J1008" i="1"/>
  <c r="J1012" i="1"/>
  <c r="E1007" i="1"/>
  <c r="A1009" i="1"/>
  <c r="G1010" i="1"/>
  <c r="C1012" i="1"/>
  <c r="I1013" i="1"/>
  <c r="E1015" i="1"/>
  <c r="B1007" i="1"/>
  <c r="H1008" i="1"/>
  <c r="D1010" i="1"/>
  <c r="J1011" i="1"/>
  <c r="F1013" i="1"/>
  <c r="B1015" i="1"/>
  <c r="E1006" i="1"/>
  <c r="A1008" i="1"/>
  <c r="G1009" i="1"/>
  <c r="C1011" i="1"/>
  <c r="I1012" i="1"/>
  <c r="E1014" i="1"/>
  <c r="B1006" i="1"/>
  <c r="H1007" i="1"/>
  <c r="D1009" i="1"/>
  <c r="B1012" i="1"/>
  <c r="H1011" i="1"/>
  <c r="D1011" i="1"/>
  <c r="J1010" i="1"/>
  <c r="C1008" i="1"/>
  <c r="E1011" i="1"/>
  <c r="G1014" i="1"/>
  <c r="J1007" i="1"/>
  <c r="B1011" i="1"/>
  <c r="D1014" i="1"/>
  <c r="C1007" i="1"/>
  <c r="E1010" i="1"/>
  <c r="G1013" i="1"/>
  <c r="J1006" i="1"/>
  <c r="D1015" i="1"/>
  <c r="F1014" i="1"/>
  <c r="A1007" i="1"/>
  <c r="C1010" i="1"/>
  <c r="E1013" i="1"/>
  <c r="H1006" i="1"/>
  <c r="J1009" i="1"/>
  <c r="F1011" i="1"/>
  <c r="A1006" i="1"/>
  <c r="E1012" i="1"/>
  <c r="G1015" i="1"/>
  <c r="D1007" i="1"/>
  <c r="H1013" i="1"/>
  <c r="D1013" i="1"/>
  <c r="F1012" i="1"/>
  <c r="I1007" i="1"/>
  <c r="E1009" i="1"/>
  <c r="A1011" i="1"/>
  <c r="G1012" i="1"/>
  <c r="C1014" i="1"/>
  <c r="I1015" i="1"/>
  <c r="F1007" i="1"/>
  <c r="B1009" i="1"/>
  <c r="H1010" i="1"/>
  <c r="D1012" i="1"/>
  <c r="J1013" i="1"/>
  <c r="F1015" i="1"/>
  <c r="I1006" i="1"/>
  <c r="E1008" i="1"/>
  <c r="A1010" i="1"/>
  <c r="G1011" i="1"/>
  <c r="C1013" i="1"/>
  <c r="I1014" i="1"/>
  <c r="F1006" i="1"/>
  <c r="B1008" i="1"/>
  <c r="H1009" i="1"/>
  <c r="F1010" i="1"/>
  <c r="B1010" i="1"/>
  <c r="H1015" i="1"/>
  <c r="H948" i="1"/>
  <c r="H953" i="1"/>
  <c r="H944" i="1"/>
  <c r="H946" i="1"/>
  <c r="H950" i="1"/>
  <c r="H952" i="1"/>
  <c r="H945" i="1"/>
  <c r="H949" i="1"/>
  <c r="B944" i="1"/>
  <c r="B946" i="1"/>
  <c r="B947" i="1"/>
  <c r="B948" i="1"/>
  <c r="B949" i="1"/>
  <c r="B950" i="1"/>
  <c r="B951" i="1"/>
  <c r="B952" i="1"/>
  <c r="B953" i="1"/>
  <c r="B945" i="1"/>
  <c r="E950" i="1"/>
  <c r="E951" i="1"/>
  <c r="E952" i="1"/>
  <c r="E953" i="1"/>
  <c r="E948" i="1"/>
  <c r="E944" i="1"/>
  <c r="E945" i="1"/>
  <c r="E946" i="1"/>
  <c r="E947" i="1"/>
  <c r="E949" i="1"/>
  <c r="F944" i="1"/>
  <c r="F945" i="1"/>
  <c r="F946" i="1"/>
  <c r="F947" i="1"/>
  <c r="F948" i="1"/>
  <c r="F950" i="1"/>
  <c r="F951" i="1"/>
  <c r="F952" i="1"/>
  <c r="F953" i="1"/>
  <c r="F949" i="1"/>
  <c r="G950" i="1"/>
  <c r="G944" i="1"/>
  <c r="G945" i="1"/>
  <c r="G946" i="1"/>
  <c r="G947" i="1"/>
  <c r="G948" i="1"/>
  <c r="G949" i="1"/>
  <c r="G951" i="1"/>
  <c r="G952" i="1"/>
  <c r="G953" i="1"/>
  <c r="C946" i="1"/>
  <c r="C944" i="1"/>
  <c r="C945" i="1"/>
  <c r="C947" i="1"/>
  <c r="C948" i="1"/>
  <c r="C949" i="1"/>
  <c r="C950" i="1"/>
  <c r="C951" i="1"/>
  <c r="C952" i="1"/>
  <c r="C953" i="1"/>
  <c r="I953" i="1"/>
  <c r="I952" i="1"/>
  <c r="I944" i="1"/>
  <c r="I945" i="1"/>
  <c r="I946" i="1"/>
  <c r="I947" i="1"/>
  <c r="I948" i="1"/>
  <c r="I949" i="1"/>
  <c r="I950" i="1"/>
  <c r="I951" i="1"/>
  <c r="J944" i="1"/>
  <c r="J945" i="1"/>
  <c r="J946" i="1"/>
  <c r="J947" i="1"/>
  <c r="J948" i="1"/>
  <c r="J949" i="1"/>
  <c r="J950" i="1"/>
  <c r="J951" i="1"/>
  <c r="J952" i="1"/>
  <c r="J953" i="1"/>
  <c r="D947" i="1"/>
  <c r="D944" i="1"/>
  <c r="D945" i="1"/>
  <c r="D946" i="1"/>
  <c r="D948" i="1"/>
  <c r="D949" i="1"/>
  <c r="D950" i="1"/>
  <c r="D951" i="1"/>
  <c r="D952" i="1"/>
  <c r="D953" i="1"/>
  <c r="C894" i="1"/>
  <c r="H897" i="1"/>
  <c r="F892" i="1"/>
  <c r="D895" i="1"/>
  <c r="I898" i="1"/>
  <c r="G900" i="1"/>
  <c r="E895" i="1"/>
  <c r="A899" i="1"/>
  <c r="E897" i="1"/>
  <c r="I892" i="1"/>
  <c r="G894" i="1"/>
  <c r="E896" i="1"/>
  <c r="C898" i="1"/>
  <c r="A900" i="1"/>
  <c r="C892" i="1"/>
  <c r="A894" i="1"/>
  <c r="H895" i="1"/>
  <c r="F897" i="1"/>
  <c r="D899" i="1"/>
  <c r="D892" i="1"/>
  <c r="B894" i="1"/>
  <c r="I895" i="1"/>
  <c r="G897" i="1"/>
  <c r="E899" i="1"/>
  <c r="B892" i="1"/>
  <c r="D894" i="1"/>
  <c r="B896" i="1"/>
  <c r="I897" i="1"/>
  <c r="G899" i="1"/>
  <c r="D893" i="1"/>
  <c r="B895" i="1"/>
  <c r="I896" i="1"/>
  <c r="G898" i="1"/>
  <c r="E900" i="1"/>
  <c r="G892" i="1"/>
  <c r="E894" i="1"/>
  <c r="C896" i="1"/>
  <c r="A898" i="1"/>
  <c r="H899" i="1"/>
  <c r="H892" i="1"/>
  <c r="F894" i="1"/>
  <c r="D896" i="1"/>
  <c r="B898" i="1"/>
  <c r="I899" i="1"/>
  <c r="A893" i="1"/>
  <c r="H894" i="1"/>
  <c r="F896" i="1"/>
  <c r="D898" i="1"/>
  <c r="B900" i="1"/>
  <c r="E892" i="1"/>
  <c r="A896" i="1"/>
  <c r="F899" i="1"/>
  <c r="F893" i="1"/>
  <c r="B897" i="1"/>
  <c r="G893" i="1"/>
  <c r="C897" i="1"/>
  <c r="H900" i="1"/>
  <c r="I893" i="1"/>
  <c r="G895" i="1"/>
  <c r="C899" i="1"/>
  <c r="H893" i="1"/>
  <c r="F895" i="1"/>
  <c r="D897" i="1"/>
  <c r="B899" i="1"/>
  <c r="I900" i="1"/>
  <c r="B893" i="1"/>
  <c r="I894" i="1"/>
  <c r="G896" i="1"/>
  <c r="E898" i="1"/>
  <c r="C900" i="1"/>
  <c r="C893" i="1"/>
  <c r="A895" i="1"/>
  <c r="H896" i="1"/>
  <c r="F898" i="1"/>
  <c r="D900" i="1"/>
  <c r="E893" i="1"/>
  <c r="C895" i="1"/>
  <c r="A897" i="1"/>
  <c r="H898" i="1"/>
  <c r="F900" i="1"/>
  <c r="E853" i="1"/>
  <c r="C855" i="1"/>
  <c r="A857" i="1"/>
  <c r="H858" i="1"/>
  <c r="F860" i="1"/>
  <c r="B853" i="1"/>
  <c r="I854" i="1"/>
  <c r="G856" i="1"/>
  <c r="E858" i="1"/>
  <c r="C860" i="1"/>
  <c r="C853" i="1"/>
  <c r="A855" i="1"/>
  <c r="H856" i="1"/>
  <c r="F858" i="1"/>
  <c r="D860" i="1"/>
  <c r="D853" i="1"/>
  <c r="B855" i="1"/>
  <c r="I856" i="1"/>
  <c r="G858" i="1"/>
  <c r="E860" i="1"/>
  <c r="I853" i="1"/>
  <c r="G855" i="1"/>
  <c r="E857" i="1"/>
  <c r="C859" i="1"/>
  <c r="A861" i="1"/>
  <c r="F853" i="1"/>
  <c r="D855" i="1"/>
  <c r="B857" i="1"/>
  <c r="I858" i="1"/>
  <c r="G860" i="1"/>
  <c r="G853" i="1"/>
  <c r="E855" i="1"/>
  <c r="C857" i="1"/>
  <c r="A859" i="1"/>
  <c r="H860" i="1"/>
  <c r="H853" i="1"/>
  <c r="F855" i="1"/>
  <c r="D857" i="1"/>
  <c r="B859" i="1"/>
  <c r="I860" i="1"/>
  <c r="D854" i="1"/>
  <c r="B856" i="1"/>
  <c r="I857" i="1"/>
  <c r="G859" i="1"/>
  <c r="E861" i="1"/>
  <c r="A854" i="1"/>
  <c r="H855" i="1"/>
  <c r="F857" i="1"/>
  <c r="D859" i="1"/>
  <c r="B861" i="1"/>
  <c r="B854" i="1"/>
  <c r="I855" i="1"/>
  <c r="G857" i="1"/>
  <c r="E859" i="1"/>
  <c r="C861" i="1"/>
  <c r="C854" i="1"/>
  <c r="A856" i="1"/>
  <c r="H857" i="1"/>
  <c r="F859" i="1"/>
  <c r="D861" i="1"/>
  <c r="H854" i="1"/>
  <c r="F856" i="1"/>
  <c r="D858" i="1"/>
  <c r="B860" i="1"/>
  <c r="I861" i="1"/>
  <c r="E854" i="1"/>
  <c r="C856" i="1"/>
  <c r="A858" i="1"/>
  <c r="H859" i="1"/>
  <c r="F861" i="1"/>
  <c r="F854" i="1"/>
  <c r="D856" i="1"/>
  <c r="B858" i="1"/>
  <c r="I859" i="1"/>
  <c r="G861" i="1"/>
  <c r="G854" i="1"/>
  <c r="E856" i="1"/>
  <c r="C858" i="1"/>
  <c r="A860" i="1"/>
  <c r="H861" i="1"/>
  <c r="B801" i="1"/>
  <c r="B802" i="1"/>
  <c r="B800" i="1"/>
  <c r="B804" i="1"/>
  <c r="D798" i="1"/>
  <c r="D804" i="1"/>
  <c r="D800" i="1"/>
  <c r="D802" i="1"/>
  <c r="D801" i="1"/>
  <c r="D797" i="1"/>
  <c r="D799" i="1"/>
  <c r="D803" i="1"/>
  <c r="B798" i="1"/>
  <c r="B797" i="1"/>
  <c r="B799" i="1"/>
  <c r="B803" i="1"/>
  <c r="F797" i="1"/>
  <c r="F802" i="1"/>
  <c r="F799" i="1"/>
  <c r="F804" i="1"/>
  <c r="F801" i="1"/>
  <c r="F798" i="1"/>
  <c r="F803" i="1"/>
  <c r="F796" i="1"/>
  <c r="F800" i="1"/>
  <c r="G798" i="1"/>
  <c r="G803" i="1"/>
  <c r="G802" i="1"/>
  <c r="G796" i="1"/>
  <c r="G800" i="1"/>
  <c r="G799" i="1"/>
  <c r="G804" i="1"/>
  <c r="G797" i="1"/>
  <c r="G801" i="1"/>
  <c r="E800" i="1"/>
  <c r="E796" i="1"/>
  <c r="E801" i="1"/>
  <c r="E798" i="1"/>
  <c r="E803" i="1"/>
  <c r="E797" i="1"/>
  <c r="E802" i="1"/>
  <c r="E799" i="1"/>
  <c r="E804" i="1"/>
  <c r="H799" i="1"/>
  <c r="H804" i="1"/>
  <c r="H797" i="1"/>
  <c r="H801" i="1"/>
  <c r="H796" i="1"/>
  <c r="H800" i="1"/>
  <c r="H803" i="1"/>
  <c r="H798" i="1"/>
  <c r="H802" i="1"/>
  <c r="I804" i="1"/>
  <c r="I796" i="1"/>
  <c r="I800" i="1"/>
  <c r="I798" i="1"/>
  <c r="I802" i="1"/>
  <c r="I797" i="1"/>
  <c r="I801" i="1"/>
  <c r="I799" i="1"/>
  <c r="I803" i="1"/>
  <c r="C799" i="1"/>
  <c r="C803" i="1"/>
  <c r="C798" i="1"/>
  <c r="C796" i="1"/>
  <c r="C801" i="1"/>
  <c r="C800" i="1"/>
  <c r="C804" i="1"/>
  <c r="C797" i="1"/>
  <c r="C802" i="1"/>
  <c r="A750" i="1"/>
  <c r="A754" i="1"/>
  <c r="B752" i="1"/>
  <c r="C748" i="1"/>
  <c r="C752" i="1"/>
  <c r="D752" i="1"/>
  <c r="E748" i="1"/>
  <c r="E750" i="1"/>
  <c r="E752" i="1"/>
  <c r="E754" i="1"/>
  <c r="F748" i="1"/>
  <c r="F750" i="1"/>
  <c r="F752" i="1"/>
  <c r="F754" i="1"/>
  <c r="G748" i="1"/>
  <c r="G750" i="1"/>
  <c r="G752" i="1"/>
  <c r="G754" i="1"/>
  <c r="H748" i="1"/>
  <c r="H750" i="1"/>
  <c r="H752" i="1"/>
  <c r="H754" i="1"/>
  <c r="A752" i="1"/>
  <c r="B748" i="1"/>
  <c r="B750" i="1"/>
  <c r="B754" i="1"/>
  <c r="C750" i="1"/>
  <c r="C754" i="1"/>
  <c r="D748" i="1"/>
  <c r="D750" i="1"/>
  <c r="D754" i="1"/>
  <c r="A749" i="1"/>
  <c r="A751" i="1"/>
  <c r="A753" i="1"/>
  <c r="A755" i="1"/>
  <c r="B749" i="1"/>
  <c r="B751" i="1"/>
  <c r="B753" i="1"/>
  <c r="B755" i="1"/>
  <c r="C749" i="1"/>
  <c r="C751" i="1"/>
  <c r="C753" i="1"/>
  <c r="C755" i="1"/>
  <c r="D749" i="1"/>
  <c r="D751" i="1"/>
  <c r="D753" i="1"/>
  <c r="D755" i="1"/>
  <c r="E749" i="1"/>
  <c r="E751" i="1"/>
  <c r="E753" i="1"/>
  <c r="E755" i="1"/>
  <c r="F749" i="1"/>
  <c r="F751" i="1"/>
  <c r="F753" i="1"/>
  <c r="F755" i="1"/>
  <c r="G749" i="1"/>
  <c r="G751" i="1"/>
  <c r="G753" i="1"/>
  <c r="G755" i="1"/>
  <c r="H749" i="1"/>
  <c r="H751" i="1"/>
  <c r="H753" i="1"/>
  <c r="H755" i="1"/>
  <c r="B716" i="1"/>
  <c r="B718" i="1"/>
  <c r="H712" i="1"/>
  <c r="D717" i="1"/>
  <c r="E714" i="1"/>
  <c r="E718" i="1"/>
  <c r="C713" i="1"/>
  <c r="C715" i="1"/>
  <c r="C717" i="1"/>
  <c r="C719" i="1"/>
  <c r="H713" i="1"/>
  <c r="H717" i="1"/>
  <c r="A712" i="1"/>
  <c r="A716" i="1"/>
  <c r="F712" i="1"/>
  <c r="F714" i="1"/>
  <c r="F716" i="1"/>
  <c r="F718" i="1"/>
  <c r="D714" i="1"/>
  <c r="H718" i="1"/>
  <c r="E715" i="1"/>
  <c r="E719" i="1"/>
  <c r="G713" i="1"/>
  <c r="G715" i="1"/>
  <c r="G717" i="1"/>
  <c r="G719" i="1"/>
  <c r="H714" i="1"/>
  <c r="D718" i="1"/>
  <c r="A713" i="1"/>
  <c r="A717" i="1"/>
  <c r="B714" i="1"/>
  <c r="B713" i="1"/>
  <c r="B715" i="1"/>
  <c r="B717" i="1"/>
  <c r="B719" i="1"/>
  <c r="D715" i="1"/>
  <c r="E712" i="1"/>
  <c r="E716" i="1"/>
  <c r="C712" i="1"/>
  <c r="C714" i="1"/>
  <c r="C716" i="1"/>
  <c r="C718" i="1"/>
  <c r="D712" i="1"/>
  <c r="H715" i="1"/>
  <c r="D719" i="1"/>
  <c r="A714" i="1"/>
  <c r="A718" i="1"/>
  <c r="F713" i="1"/>
  <c r="F715" i="1"/>
  <c r="F717" i="1"/>
  <c r="F719" i="1"/>
  <c r="D716" i="1"/>
  <c r="E713" i="1"/>
  <c r="E717" i="1"/>
  <c r="G712" i="1"/>
  <c r="G714" i="1"/>
  <c r="G716" i="1"/>
  <c r="G718" i="1"/>
  <c r="D713" i="1"/>
  <c r="H716" i="1"/>
  <c r="H719" i="1"/>
  <c r="A715" i="1"/>
  <c r="A719" i="1"/>
  <c r="F661" i="1"/>
  <c r="B662" i="1"/>
  <c r="B661" i="1"/>
  <c r="B660" i="1"/>
  <c r="B666" i="1"/>
  <c r="B663" i="1"/>
  <c r="F662" i="1"/>
  <c r="B664" i="1"/>
  <c r="B665" i="1"/>
  <c r="F664" i="1"/>
  <c r="F665" i="1"/>
  <c r="F660" i="1"/>
  <c r="F667" i="1"/>
  <c r="F666" i="1"/>
  <c r="H667" i="1"/>
  <c r="H661" i="1"/>
  <c r="H663" i="1"/>
  <c r="H665" i="1"/>
  <c r="H660" i="1"/>
  <c r="H662" i="1"/>
  <c r="H664" i="1"/>
  <c r="H666" i="1"/>
  <c r="G661" i="1"/>
  <c r="G663" i="1"/>
  <c r="G665" i="1"/>
  <c r="G667" i="1"/>
  <c r="G666" i="1"/>
  <c r="G660" i="1"/>
  <c r="G662" i="1"/>
  <c r="G664" i="1"/>
  <c r="A660" i="1"/>
  <c r="A664" i="1"/>
  <c r="A661" i="1"/>
  <c r="A665" i="1"/>
  <c r="A662" i="1"/>
  <c r="A666" i="1"/>
  <c r="A663" i="1"/>
  <c r="A667" i="1"/>
  <c r="E664" i="1"/>
  <c r="E660" i="1"/>
  <c r="E662" i="1"/>
  <c r="E666" i="1"/>
  <c r="E661" i="1"/>
  <c r="E663" i="1"/>
  <c r="E665" i="1"/>
  <c r="E667" i="1"/>
  <c r="C661" i="1"/>
  <c r="C663" i="1"/>
  <c r="C665" i="1"/>
  <c r="C667" i="1"/>
  <c r="C662" i="1"/>
  <c r="C660" i="1"/>
  <c r="C664" i="1"/>
  <c r="C666" i="1"/>
  <c r="E621" i="1"/>
  <c r="C616" i="1"/>
  <c r="E617" i="1"/>
  <c r="G619" i="1"/>
  <c r="B622" i="1"/>
  <c r="G617" i="1"/>
  <c r="B620" i="1"/>
  <c r="A616" i="1"/>
  <c r="C618" i="1"/>
  <c r="E620" i="1"/>
  <c r="G622" i="1"/>
  <c r="G616" i="1"/>
  <c r="B619" i="1"/>
  <c r="D621" i="1"/>
  <c r="C619" i="1"/>
  <c r="C617" i="1"/>
  <c r="D622" i="1"/>
  <c r="A620" i="1"/>
  <c r="G620" i="1"/>
  <c r="B618" i="1"/>
  <c r="D620" i="1"/>
  <c r="F622" i="1"/>
  <c r="D618" i="1"/>
  <c r="F620" i="1"/>
  <c r="E616" i="1"/>
  <c r="G618" i="1"/>
  <c r="B621" i="1"/>
  <c r="F616" i="1"/>
  <c r="D617" i="1"/>
  <c r="F619" i="1"/>
  <c r="A622" i="1"/>
  <c r="A617" i="1"/>
  <c r="E619" i="1"/>
  <c r="F617" i="1"/>
  <c r="C622" i="1"/>
  <c r="E618" i="1"/>
  <c r="F618" i="1"/>
  <c r="A621" i="1"/>
  <c r="B616" i="1"/>
  <c r="A619" i="1"/>
  <c r="G621" i="1"/>
  <c r="B617" i="1"/>
  <c r="D619" i="1"/>
  <c r="F621" i="1"/>
  <c r="C621" i="1"/>
  <c r="A618" i="1"/>
  <c r="C620" i="1"/>
  <c r="E622" i="1"/>
  <c r="C585" i="1"/>
  <c r="G589" i="1"/>
  <c r="B589" i="1"/>
  <c r="B587" i="1"/>
  <c r="D589" i="1"/>
  <c r="A585" i="1"/>
  <c r="E589" i="1"/>
  <c r="E583" i="1"/>
  <c r="G585" i="1"/>
  <c r="E584" i="1"/>
  <c r="B583" i="1"/>
  <c r="D585" i="1"/>
  <c r="F587" i="1"/>
  <c r="A584" i="1"/>
  <c r="C583" i="1"/>
  <c r="E585" i="1"/>
  <c r="D583" i="1"/>
  <c r="B584" i="1"/>
  <c r="D586" i="1"/>
  <c r="F588" i="1"/>
  <c r="B585" i="1"/>
  <c r="F583" i="1"/>
  <c r="A586" i="1"/>
  <c r="C588" i="1"/>
  <c r="F585" i="1"/>
  <c r="G583" i="1"/>
  <c r="B586" i="1"/>
  <c r="D588" i="1"/>
  <c r="C586" i="1"/>
  <c r="E587" i="1"/>
  <c r="G584" i="1"/>
  <c r="E588" i="1"/>
  <c r="C587" i="1"/>
  <c r="F589" i="1"/>
  <c r="B588" i="1"/>
  <c r="G587" i="1"/>
  <c r="F584" i="1"/>
  <c r="A587" i="1"/>
  <c r="C589" i="1"/>
  <c r="G586" i="1"/>
  <c r="C584" i="1"/>
  <c r="E586" i="1"/>
  <c r="G588" i="1"/>
  <c r="D587" i="1"/>
  <c r="D584" i="1"/>
  <c r="F586" i="1"/>
  <c r="A589" i="1"/>
  <c r="A588" i="1"/>
  <c r="B536" i="1"/>
  <c r="B539" i="1"/>
  <c r="B540" i="1"/>
  <c r="B537" i="1"/>
  <c r="B541" i="1"/>
  <c r="B538" i="1"/>
  <c r="B542" i="1"/>
  <c r="D540" i="1"/>
  <c r="D539" i="1"/>
  <c r="D538" i="1"/>
  <c r="D541" i="1"/>
  <c r="D542" i="1"/>
  <c r="D536" i="1"/>
  <c r="D537" i="1"/>
  <c r="A541" i="1"/>
  <c r="A538" i="1"/>
  <c r="A542" i="1"/>
  <c r="A537" i="1"/>
  <c r="A539" i="1"/>
  <c r="A536" i="1"/>
  <c r="A540" i="1"/>
  <c r="G539" i="1"/>
  <c r="G542" i="1"/>
  <c r="G536" i="1"/>
  <c r="G540" i="1"/>
  <c r="G537" i="1"/>
  <c r="G541" i="1"/>
  <c r="G538" i="1"/>
  <c r="F542" i="1"/>
  <c r="F536" i="1"/>
  <c r="F540" i="1"/>
  <c r="F537" i="1"/>
  <c r="F541" i="1"/>
  <c r="F538" i="1"/>
  <c r="F539" i="1"/>
  <c r="E540" i="1"/>
  <c r="E536" i="1"/>
  <c r="E537" i="1"/>
  <c r="E538" i="1"/>
  <c r="E541" i="1"/>
  <c r="E539" i="1"/>
  <c r="E542" i="1"/>
  <c r="D488" i="1"/>
  <c r="D492" i="1"/>
  <c r="D490" i="1"/>
  <c r="D489" i="1"/>
  <c r="D493" i="1"/>
  <c r="B486" i="1"/>
  <c r="B489" i="1" s="1"/>
  <c r="A486" i="1"/>
  <c r="A488" i="1" s="1"/>
  <c r="E486" i="1"/>
  <c r="E492" i="1" s="1"/>
  <c r="C486" i="1"/>
  <c r="C490" i="1" s="1"/>
  <c r="F486" i="1"/>
  <c r="F493" i="1" s="1"/>
  <c r="A449" i="1"/>
  <c r="A453" i="1" s="1"/>
  <c r="E449" i="1"/>
  <c r="E456" i="1" s="1"/>
  <c r="B449" i="1"/>
  <c r="B454" i="1" s="1"/>
  <c r="C449" i="1"/>
  <c r="C451" i="1" s="1"/>
  <c r="D455" i="1"/>
  <c r="D454" i="1"/>
  <c r="F449" i="1"/>
  <c r="F453" i="1" s="1"/>
  <c r="D452" i="1"/>
  <c r="D453" i="1"/>
  <c r="D456" i="1"/>
  <c r="A418" i="1"/>
  <c r="A416" i="1"/>
  <c r="A417" i="1"/>
  <c r="A415" i="1"/>
  <c r="A419" i="1"/>
  <c r="C414" i="1"/>
  <c r="C418" i="1"/>
  <c r="C419" i="1"/>
  <c r="C417" i="1"/>
  <c r="C415" i="1"/>
  <c r="E416" i="1"/>
  <c r="E414" i="1"/>
  <c r="E415" i="1"/>
  <c r="E419" i="1"/>
  <c r="E417" i="1"/>
  <c r="B419" i="1"/>
  <c r="B417" i="1"/>
  <c r="B414" i="1"/>
  <c r="B418" i="1"/>
  <c r="B416" i="1"/>
  <c r="F415" i="1"/>
  <c r="F417" i="1"/>
  <c r="F414" i="1"/>
  <c r="F418" i="1"/>
  <c r="F416" i="1"/>
  <c r="A1059" i="1" l="1" a="1"/>
  <c r="B1059" i="1" s="1"/>
  <c r="A1017" i="1" a="1"/>
  <c r="B1021" i="1" s="1"/>
  <c r="A955" i="1" a="1"/>
  <c r="B964" i="1" s="1"/>
  <c r="A902" i="1" a="1"/>
  <c r="C909" i="1" s="1"/>
  <c r="A863" i="1" a="1"/>
  <c r="A806" i="1" a="1"/>
  <c r="A757" i="1" a="1"/>
  <c r="A721" i="1" a="1"/>
  <c r="A669" i="1" a="1"/>
  <c r="A624" i="1" a="1"/>
  <c r="A591" i="1" a="1"/>
  <c r="A544" i="1" a="1"/>
  <c r="E454" i="1"/>
  <c r="E490" i="1"/>
  <c r="E491" i="1"/>
  <c r="E493" i="1"/>
  <c r="E489" i="1"/>
  <c r="E488" i="1"/>
  <c r="A492" i="1"/>
  <c r="A489" i="1"/>
  <c r="A491" i="1"/>
  <c r="A490" i="1"/>
  <c r="A493" i="1"/>
  <c r="F490" i="1"/>
  <c r="F489" i="1"/>
  <c r="F492" i="1"/>
  <c r="F488" i="1"/>
  <c r="F491" i="1"/>
  <c r="B490" i="1"/>
  <c r="B492" i="1"/>
  <c r="B493" i="1"/>
  <c r="B491" i="1"/>
  <c r="B488" i="1"/>
  <c r="C492" i="1"/>
  <c r="C489" i="1"/>
  <c r="C488" i="1"/>
  <c r="C493" i="1"/>
  <c r="C491" i="1"/>
  <c r="A452" i="1"/>
  <c r="E452" i="1"/>
  <c r="E455" i="1"/>
  <c r="E453" i="1"/>
  <c r="A455" i="1"/>
  <c r="C453" i="1"/>
  <c r="A454" i="1"/>
  <c r="A456" i="1"/>
  <c r="A451" i="1"/>
  <c r="E451" i="1"/>
  <c r="C455" i="1"/>
  <c r="C456" i="1"/>
  <c r="B453" i="1"/>
  <c r="B451" i="1"/>
  <c r="C454" i="1"/>
  <c r="B452" i="1"/>
  <c r="F455" i="1"/>
  <c r="F454" i="1"/>
  <c r="B455" i="1"/>
  <c r="B456" i="1"/>
  <c r="F451" i="1"/>
  <c r="C452" i="1"/>
  <c r="F456" i="1"/>
  <c r="F452" i="1"/>
  <c r="A421" i="1" a="1"/>
  <c r="C425" i="1" s="1"/>
  <c r="B1067" i="1" l="1"/>
  <c r="F1066" i="1"/>
  <c r="F1059" i="1"/>
  <c r="D1065" i="1"/>
  <c r="C1061" i="1"/>
  <c r="B1064" i="1"/>
  <c r="F1063" i="1"/>
  <c r="I1059" i="1"/>
  <c r="D1062" i="1"/>
  <c r="H1068" i="1"/>
  <c r="C1065" i="1"/>
  <c r="H1061" i="1"/>
  <c r="B1068" i="1"/>
  <c r="I1063" i="1"/>
  <c r="B1061" i="1"/>
  <c r="F1067" i="1"/>
  <c r="A1064" i="1"/>
  <c r="F1060" i="1"/>
  <c r="J1066" i="1"/>
  <c r="E1067" i="1"/>
  <c r="J1059" i="1"/>
  <c r="D1066" i="1"/>
  <c r="I1062" i="1"/>
  <c r="D1059" i="1"/>
  <c r="H1065" i="1"/>
  <c r="A1061" i="1"/>
  <c r="G1066" i="1"/>
  <c r="B1065" i="1"/>
  <c r="G1061" i="1"/>
  <c r="A1068" i="1"/>
  <c r="F1064" i="1"/>
  <c r="C1066" i="1"/>
  <c r="C1060" i="1"/>
  <c r="G1063" i="1"/>
  <c r="E1062" i="1"/>
  <c r="C1064" i="1"/>
  <c r="E1066" i="1"/>
  <c r="J1063" i="1"/>
  <c r="I1066" i="1"/>
  <c r="D1063" i="1"/>
  <c r="E1061" i="1"/>
  <c r="G1062" i="1"/>
  <c r="H1062" i="1"/>
  <c r="C1059" i="1"/>
  <c r="G1065" i="1"/>
  <c r="B1062" i="1"/>
  <c r="F1068" i="1"/>
  <c r="I1065" i="1"/>
  <c r="F1061" i="1"/>
  <c r="J1067" i="1"/>
  <c r="E1064" i="1"/>
  <c r="J1060" i="1"/>
  <c r="D1067" i="1"/>
  <c r="E1059" i="1"/>
  <c r="D1060" i="1"/>
  <c r="H1066" i="1"/>
  <c r="C1063" i="1"/>
  <c r="H1059" i="1"/>
  <c r="B1066" i="1"/>
  <c r="E1063" i="1"/>
  <c r="G1068" i="1"/>
  <c r="H1060" i="1"/>
  <c r="B1060" i="1"/>
  <c r="E1065" i="1"/>
  <c r="J1065" i="1"/>
  <c r="I1068" i="1"/>
  <c r="A1059" i="1"/>
  <c r="H1064" i="1"/>
  <c r="G1067" i="1"/>
  <c r="G1064" i="1"/>
  <c r="A1067" i="1"/>
  <c r="A1060" i="1"/>
  <c r="J1062" i="1"/>
  <c r="G1060" i="1"/>
  <c r="E1060" i="1"/>
  <c r="F1065" i="1"/>
  <c r="A1062" i="1"/>
  <c r="E1068" i="1"/>
  <c r="J1064" i="1"/>
  <c r="I1067" i="1"/>
  <c r="C1062" i="1"/>
  <c r="D1064" i="1"/>
  <c r="I1060" i="1"/>
  <c r="C1067" i="1"/>
  <c r="H1063" i="1"/>
  <c r="A1063" i="1"/>
  <c r="A1065" i="1"/>
  <c r="B1063" i="1"/>
  <c r="G1059" i="1"/>
  <c r="A1066" i="1"/>
  <c r="F1062" i="1"/>
  <c r="J1068" i="1"/>
  <c r="C1068" i="1"/>
  <c r="J1061" i="1"/>
  <c r="D1068" i="1"/>
  <c r="I1064" i="1"/>
  <c r="D1061" i="1"/>
  <c r="H1067" i="1"/>
  <c r="I1061" i="1"/>
  <c r="B1023" i="1"/>
  <c r="A1022" i="1"/>
  <c r="A1020" i="1"/>
  <c r="B1017" i="1"/>
  <c r="B1020" i="1"/>
  <c r="C1020" i="1"/>
  <c r="E1026" i="1"/>
  <c r="I1023" i="1"/>
  <c r="I1017" i="1"/>
  <c r="E1025" i="1"/>
  <c r="G1026" i="1"/>
  <c r="F1022" i="1"/>
  <c r="B1025" i="1"/>
  <c r="C1024" i="1"/>
  <c r="H1020" i="1"/>
  <c r="G1017" i="1"/>
  <c r="G1025" i="1"/>
  <c r="D1019" i="1"/>
  <c r="C1018" i="1"/>
  <c r="G1024" i="1"/>
  <c r="A1018" i="1"/>
  <c r="E1024" i="1"/>
  <c r="D1023" i="1"/>
  <c r="B1022" i="1"/>
  <c r="I1021" i="1"/>
  <c r="D1018" i="1"/>
  <c r="H1024" i="1"/>
  <c r="G1021" i="1"/>
  <c r="H1019" i="1"/>
  <c r="J1024" i="1"/>
  <c r="F1023" i="1"/>
  <c r="E1017" i="1"/>
  <c r="H1018" i="1"/>
  <c r="H1026" i="1"/>
  <c r="G1023" i="1"/>
  <c r="H1017" i="1"/>
  <c r="E1019" i="1"/>
  <c r="I1025" i="1"/>
  <c r="D1022" i="1"/>
  <c r="C1019" i="1"/>
  <c r="C1017" i="1"/>
  <c r="H1025" i="1"/>
  <c r="I1019" i="1"/>
  <c r="C1026" i="1"/>
  <c r="H1022" i="1"/>
  <c r="G1019" i="1"/>
  <c r="A1026" i="1"/>
  <c r="J1020" i="1"/>
  <c r="A1017" i="1"/>
  <c r="E1022" i="1"/>
  <c r="E1023" i="1"/>
  <c r="J1019" i="1"/>
  <c r="D1026" i="1"/>
  <c r="C1023" i="1"/>
  <c r="B1026" i="1"/>
  <c r="D1025" i="1"/>
  <c r="C1025" i="1"/>
  <c r="A1019" i="1"/>
  <c r="D1020" i="1"/>
  <c r="I1018" i="1"/>
  <c r="I1026" i="1"/>
  <c r="B1024" i="1"/>
  <c r="A1021" i="1"/>
  <c r="F1017" i="1"/>
  <c r="J1023" i="1"/>
  <c r="I1020" i="1"/>
  <c r="J1022" i="1"/>
  <c r="H1023" i="1"/>
  <c r="E1021" i="1"/>
  <c r="J1017" i="1"/>
  <c r="D1024" i="1"/>
  <c r="C1021" i="1"/>
  <c r="B1018" i="1"/>
  <c r="F1018" i="1"/>
  <c r="G1018" i="1"/>
  <c r="A1025" i="1"/>
  <c r="F1021" i="1"/>
  <c r="E1018" i="1"/>
  <c r="I1024" i="1"/>
  <c r="F1026" i="1"/>
  <c r="C1022" i="1"/>
  <c r="F1020" i="1"/>
  <c r="G1020" i="1"/>
  <c r="J1021" i="1"/>
  <c r="E1020" i="1"/>
  <c r="D1021" i="1"/>
  <c r="D1017" i="1"/>
  <c r="G1022" i="1"/>
  <c r="B1019" i="1"/>
  <c r="F1025" i="1"/>
  <c r="A1024" i="1"/>
  <c r="H1021" i="1"/>
  <c r="J1026" i="1"/>
  <c r="A1023" i="1"/>
  <c r="F1019" i="1"/>
  <c r="J1025" i="1"/>
  <c r="I1022" i="1"/>
  <c r="F1024" i="1"/>
  <c r="J1018" i="1"/>
  <c r="G955" i="1"/>
  <c r="F958" i="1"/>
  <c r="B959" i="1"/>
  <c r="E957" i="1"/>
  <c r="F960" i="1"/>
  <c r="I961" i="1"/>
  <c r="D955" i="1"/>
  <c r="H960" i="1"/>
  <c r="G956" i="1"/>
  <c r="E963" i="1"/>
  <c r="A963" i="1"/>
  <c r="I955" i="1"/>
  <c r="C957" i="1"/>
  <c r="A964" i="1"/>
  <c r="J959" i="1"/>
  <c r="I956" i="1"/>
  <c r="C963" i="1"/>
  <c r="H959" i="1"/>
  <c r="C956" i="1"/>
  <c r="G962" i="1"/>
  <c r="F959" i="1"/>
  <c r="E956" i="1"/>
  <c r="I962" i="1"/>
  <c r="D959" i="1"/>
  <c r="F963" i="1"/>
  <c r="B955" i="1"/>
  <c r="I958" i="1"/>
  <c r="A959" i="1"/>
  <c r="D962" i="1"/>
  <c r="H961" i="1"/>
  <c r="B957" i="1"/>
  <c r="E960" i="1"/>
  <c r="G960" i="1"/>
  <c r="D964" i="1"/>
  <c r="J964" i="1"/>
  <c r="H955" i="1"/>
  <c r="B962" i="1"/>
  <c r="C958" i="1"/>
  <c r="G964" i="1"/>
  <c r="F961" i="1"/>
  <c r="E958" i="1"/>
  <c r="I964" i="1"/>
  <c r="D961" i="1"/>
  <c r="I957" i="1"/>
  <c r="C964" i="1"/>
  <c r="B961" i="1"/>
  <c r="A958" i="1"/>
  <c r="E964" i="1"/>
  <c r="J960" i="1"/>
  <c r="A955" i="1"/>
  <c r="E955" i="1"/>
  <c r="H958" i="1"/>
  <c r="G963" i="1"/>
  <c r="C962" i="1"/>
  <c r="A956" i="1"/>
  <c r="A957" i="1"/>
  <c r="D960" i="1"/>
  <c r="J956" i="1"/>
  <c r="I963" i="1"/>
  <c r="G957" i="1"/>
  <c r="I960" i="1"/>
  <c r="D957" i="1"/>
  <c r="H963" i="1"/>
  <c r="I959" i="1"/>
  <c r="H956" i="1"/>
  <c r="B963" i="1"/>
  <c r="A960" i="1"/>
  <c r="F956" i="1"/>
  <c r="J962" i="1"/>
  <c r="E959" i="1"/>
  <c r="D956" i="1"/>
  <c r="H962" i="1"/>
  <c r="G959" i="1"/>
  <c r="B956" i="1"/>
  <c r="F962" i="1"/>
  <c r="G958" i="1"/>
  <c r="J961" i="1"/>
  <c r="B960" i="1"/>
  <c r="J955" i="1"/>
  <c r="C959" i="1"/>
  <c r="C960" i="1"/>
  <c r="J963" i="1"/>
  <c r="D963" i="1"/>
  <c r="F957" i="1"/>
  <c r="A962" i="1"/>
  <c r="E962" i="1"/>
  <c r="J958" i="1"/>
  <c r="F955" i="1"/>
  <c r="E961" i="1"/>
  <c r="D958" i="1"/>
  <c r="C955" i="1"/>
  <c r="G961" i="1"/>
  <c r="B958" i="1"/>
  <c r="F964" i="1"/>
  <c r="A961" i="1"/>
  <c r="J957" i="1"/>
  <c r="H964" i="1"/>
  <c r="C961" i="1"/>
  <c r="H957" i="1"/>
  <c r="H910" i="1"/>
  <c r="F906" i="1"/>
  <c r="H908" i="1"/>
  <c r="H903" i="1"/>
  <c r="G907" i="1"/>
  <c r="C907" i="1"/>
  <c r="F902" i="1"/>
  <c r="B907" i="1"/>
  <c r="G903" i="1"/>
  <c r="A907" i="1"/>
  <c r="F905" i="1"/>
  <c r="B908" i="1"/>
  <c r="B902" i="1"/>
  <c r="D907" i="1"/>
  <c r="I902" i="1"/>
  <c r="F903" i="1"/>
  <c r="H906" i="1"/>
  <c r="D909" i="1"/>
  <c r="A908" i="1"/>
  <c r="C902" i="1"/>
  <c r="A904" i="1"/>
  <c r="I908" i="1"/>
  <c r="A903" i="1"/>
  <c r="I907" i="1"/>
  <c r="F904" i="1"/>
  <c r="I905" i="1"/>
  <c r="E902" i="1"/>
  <c r="I909" i="1"/>
  <c r="B903" i="1"/>
  <c r="G910" i="1"/>
  <c r="B909" i="1"/>
  <c r="D905" i="1"/>
  <c r="F908" i="1"/>
  <c r="B904" i="1"/>
  <c r="H909" i="1"/>
  <c r="F907" i="1"/>
  <c r="D908" i="1"/>
  <c r="E907" i="1"/>
  <c r="A906" i="1"/>
  <c r="E908" i="1"/>
  <c r="C908" i="1"/>
  <c r="E910" i="1"/>
  <c r="E905" i="1"/>
  <c r="I906" i="1"/>
  <c r="D904" i="1"/>
  <c r="A905" i="1"/>
  <c r="H905" i="1"/>
  <c r="C906" i="1"/>
  <c r="G904" i="1"/>
  <c r="D910" i="1"/>
  <c r="E904" i="1"/>
  <c r="I903" i="1"/>
  <c r="B905" i="1"/>
  <c r="B906" i="1"/>
  <c r="C905" i="1"/>
  <c r="D906" i="1"/>
  <c r="C903" i="1"/>
  <c r="F910" i="1"/>
  <c r="G909" i="1"/>
  <c r="E909" i="1"/>
  <c r="H907" i="1"/>
  <c r="C910" i="1"/>
  <c r="A910" i="1"/>
  <c r="G902" i="1"/>
  <c r="A902" i="1"/>
  <c r="H902" i="1"/>
  <c r="A909" i="1"/>
  <c r="E906" i="1"/>
  <c r="I910" i="1"/>
  <c r="H904" i="1"/>
  <c r="D903" i="1"/>
  <c r="F909" i="1"/>
  <c r="G905" i="1"/>
  <c r="C904" i="1"/>
  <c r="G906" i="1"/>
  <c r="B910" i="1"/>
  <c r="G908" i="1"/>
  <c r="E903" i="1"/>
  <c r="I904" i="1"/>
  <c r="D902" i="1"/>
  <c r="A863" i="1"/>
  <c r="E864" i="1"/>
  <c r="G864" i="1"/>
  <c r="D866" i="1"/>
  <c r="A867" i="1"/>
  <c r="B871" i="1"/>
  <c r="C867" i="1"/>
  <c r="H869" i="1"/>
  <c r="B867" i="1"/>
  <c r="G866" i="1"/>
  <c r="G868" i="1"/>
  <c r="D870" i="1"/>
  <c r="C863" i="1"/>
  <c r="G865" i="1"/>
  <c r="E863" i="1"/>
  <c r="D871" i="1"/>
  <c r="C871" i="1"/>
  <c r="I871" i="1"/>
  <c r="D865" i="1"/>
  <c r="H863" i="1"/>
  <c r="I867" i="1"/>
  <c r="G867" i="1"/>
  <c r="B869" i="1"/>
  <c r="C870" i="1"/>
  <c r="H871" i="1"/>
  <c r="G871" i="1"/>
  <c r="F864" i="1"/>
  <c r="C865" i="1"/>
  <c r="F863" i="1"/>
  <c r="G863" i="1"/>
  <c r="F869" i="1"/>
  <c r="D864" i="1"/>
  <c r="I864" i="1"/>
  <c r="I866" i="1"/>
  <c r="F868" i="1"/>
  <c r="A871" i="1"/>
  <c r="I863" i="1"/>
  <c r="F871" i="1"/>
  <c r="H867" i="1"/>
  <c r="E869" i="1"/>
  <c r="D868" i="1"/>
  <c r="I870" i="1"/>
  <c r="A869" i="1"/>
  <c r="E868" i="1"/>
  <c r="A870" i="1"/>
  <c r="I869" i="1"/>
  <c r="F867" i="1"/>
  <c r="A868" i="1"/>
  <c r="G869" i="1"/>
  <c r="G870" i="1"/>
  <c r="B863" i="1"/>
  <c r="B865" i="1"/>
  <c r="H866" i="1"/>
  <c r="C869" i="1"/>
  <c r="H865" i="1"/>
  <c r="A866" i="1"/>
  <c r="H864" i="1"/>
  <c r="C866" i="1"/>
  <c r="C868" i="1"/>
  <c r="B868" i="1"/>
  <c r="F870" i="1"/>
  <c r="B870" i="1"/>
  <c r="H870" i="1"/>
  <c r="B866" i="1"/>
  <c r="F866" i="1"/>
  <c r="I868" i="1"/>
  <c r="E870" i="1"/>
  <c r="D863" i="1"/>
  <c r="A865" i="1"/>
  <c r="E867" i="1"/>
  <c r="H868" i="1"/>
  <c r="A864" i="1"/>
  <c r="C864" i="1"/>
  <c r="B864" i="1"/>
  <c r="D869" i="1"/>
  <c r="F865" i="1"/>
  <c r="E871" i="1"/>
  <c r="D867" i="1"/>
  <c r="E866" i="1"/>
  <c r="I865" i="1"/>
  <c r="E865" i="1"/>
  <c r="A806" i="1"/>
  <c r="G810" i="1"/>
  <c r="D811" i="1"/>
  <c r="C810" i="1"/>
  <c r="B814" i="1"/>
  <c r="H808" i="1"/>
  <c r="G812" i="1"/>
  <c r="I810" i="1"/>
  <c r="F812" i="1"/>
  <c r="A809" i="1"/>
  <c r="D806" i="1"/>
  <c r="D813" i="1"/>
  <c r="F811" i="1"/>
  <c r="H809" i="1"/>
  <c r="A808" i="1"/>
  <c r="C806" i="1"/>
  <c r="B812" i="1"/>
  <c r="B808" i="1"/>
  <c r="G813" i="1"/>
  <c r="I811" i="1"/>
  <c r="B810" i="1"/>
  <c r="D808" i="1"/>
  <c r="F806" i="1"/>
  <c r="A814" i="1"/>
  <c r="C812" i="1"/>
  <c r="E810" i="1"/>
  <c r="G808" i="1"/>
  <c r="I806" i="1"/>
  <c r="H810" i="1"/>
  <c r="C814" i="1"/>
  <c r="I808" i="1"/>
  <c r="I813" i="1"/>
  <c r="F814" i="1"/>
  <c r="H812" i="1"/>
  <c r="C809" i="1"/>
  <c r="E807" i="1"/>
  <c r="B813" i="1"/>
  <c r="H807" i="1"/>
  <c r="I809" i="1"/>
  <c r="H813" i="1"/>
  <c r="E808" i="1"/>
  <c r="A813" i="1"/>
  <c r="E809" i="1"/>
  <c r="F810" i="1"/>
  <c r="E814" i="1"/>
  <c r="D807" i="1"/>
  <c r="G811" i="1"/>
  <c r="F808" i="1"/>
  <c r="G814" i="1"/>
  <c r="I812" i="1"/>
  <c r="B811" i="1"/>
  <c r="D809" i="1"/>
  <c r="F807" i="1"/>
  <c r="H814" i="1"/>
  <c r="C811" i="1"/>
  <c r="H806" i="1"/>
  <c r="C813" i="1"/>
  <c r="E811" i="1"/>
  <c r="G809" i="1"/>
  <c r="I807" i="1"/>
  <c r="B806" i="1"/>
  <c r="F813" i="1"/>
  <c r="H811" i="1"/>
  <c r="A810" i="1"/>
  <c r="C808" i="1"/>
  <c r="E806" i="1"/>
  <c r="D814" i="1"/>
  <c r="G807" i="1"/>
  <c r="E812" i="1"/>
  <c r="B807" i="1"/>
  <c r="D810" i="1"/>
  <c r="A811" i="1"/>
  <c r="I814" i="1"/>
  <c r="F809" i="1"/>
  <c r="E813" i="1"/>
  <c r="C807" i="1"/>
  <c r="A812" i="1"/>
  <c r="G806" i="1"/>
  <c r="D812" i="1"/>
  <c r="A807" i="1"/>
  <c r="B809" i="1"/>
  <c r="F761" i="1"/>
  <c r="H761" i="1"/>
  <c r="C757" i="1"/>
  <c r="F764" i="1"/>
  <c r="B764" i="1"/>
  <c r="G764" i="1"/>
  <c r="E764" i="1"/>
  <c r="B761" i="1"/>
  <c r="D759" i="1"/>
  <c r="H759" i="1"/>
  <c r="C758" i="1"/>
  <c r="A758" i="1"/>
  <c r="D762" i="1"/>
  <c r="H762" i="1"/>
  <c r="G759" i="1"/>
  <c r="E759" i="1"/>
  <c r="F757" i="1"/>
  <c r="H757" i="1"/>
  <c r="A763" i="1"/>
  <c r="F760" i="1"/>
  <c r="B760" i="1"/>
  <c r="G762" i="1"/>
  <c r="E762" i="1"/>
  <c r="F763" i="1"/>
  <c r="B763" i="1"/>
  <c r="C764" i="1"/>
  <c r="A764" i="1"/>
  <c r="D757" i="1"/>
  <c r="D758" i="1"/>
  <c r="H758" i="1"/>
  <c r="G757" i="1"/>
  <c r="E757" i="1"/>
  <c r="D761" i="1"/>
  <c r="C763" i="1"/>
  <c r="A761" i="1"/>
  <c r="D764" i="1"/>
  <c r="H764" i="1"/>
  <c r="G760" i="1"/>
  <c r="E760" i="1"/>
  <c r="F759" i="1"/>
  <c r="B759" i="1"/>
  <c r="C762" i="1"/>
  <c r="A762" i="1"/>
  <c r="F762" i="1"/>
  <c r="B762" i="1"/>
  <c r="G763" i="1"/>
  <c r="E763" i="1"/>
  <c r="C761" i="1"/>
  <c r="A757" i="1"/>
  <c r="B757" i="1"/>
  <c r="C759" i="1"/>
  <c r="A759" i="1"/>
  <c r="D760" i="1"/>
  <c r="H760" i="1"/>
  <c r="G758" i="1"/>
  <c r="E758" i="1"/>
  <c r="D763" i="1"/>
  <c r="H763" i="1"/>
  <c r="C760" i="1"/>
  <c r="A760" i="1"/>
  <c r="F758" i="1"/>
  <c r="B758" i="1"/>
  <c r="G761" i="1"/>
  <c r="E761" i="1"/>
  <c r="A721" i="1"/>
  <c r="A725" i="1"/>
  <c r="B725" i="1"/>
  <c r="C722" i="1"/>
  <c r="H722" i="1"/>
  <c r="E725" i="1"/>
  <c r="F725" i="1"/>
  <c r="G722" i="1"/>
  <c r="H723" i="1"/>
  <c r="A726" i="1"/>
  <c r="C723" i="1"/>
  <c r="H724" i="1"/>
  <c r="E726" i="1"/>
  <c r="F726" i="1"/>
  <c r="H725" i="1"/>
  <c r="D727" i="1"/>
  <c r="F728" i="1"/>
  <c r="F727" i="1"/>
  <c r="H728" i="1"/>
  <c r="B721" i="1"/>
  <c r="H721" i="1"/>
  <c r="C726" i="1"/>
  <c r="E721" i="1"/>
  <c r="F721" i="1"/>
  <c r="D723" i="1"/>
  <c r="G726" i="1"/>
  <c r="A722" i="1"/>
  <c r="B722" i="1"/>
  <c r="D724" i="1"/>
  <c r="C727" i="1"/>
  <c r="E722" i="1"/>
  <c r="F722" i="1"/>
  <c r="D725" i="1"/>
  <c r="G727" i="1"/>
  <c r="A723" i="1"/>
  <c r="B723" i="1"/>
  <c r="H726" i="1"/>
  <c r="C728" i="1"/>
  <c r="E723" i="1"/>
  <c r="F723" i="1"/>
  <c r="D728" i="1"/>
  <c r="G728" i="1"/>
  <c r="A724" i="1"/>
  <c r="B724" i="1"/>
  <c r="C721" i="1"/>
  <c r="D721" i="1"/>
  <c r="E724" i="1"/>
  <c r="F724" i="1"/>
  <c r="G721" i="1"/>
  <c r="D722" i="1"/>
  <c r="B726" i="1"/>
  <c r="G723" i="1"/>
  <c r="A727" i="1"/>
  <c r="B727" i="1"/>
  <c r="C724" i="1"/>
  <c r="D726" i="1"/>
  <c r="E727" i="1"/>
  <c r="G724" i="1"/>
  <c r="A728" i="1"/>
  <c r="B728" i="1"/>
  <c r="C725" i="1"/>
  <c r="H727" i="1"/>
  <c r="E728" i="1"/>
  <c r="G725" i="1"/>
  <c r="A669" i="1"/>
  <c r="H676" i="1"/>
  <c r="H672" i="1"/>
  <c r="D669" i="1"/>
  <c r="C675" i="1"/>
  <c r="C673" i="1"/>
  <c r="C671" i="1"/>
  <c r="C669" i="1"/>
  <c r="D673" i="1"/>
  <c r="F676" i="1"/>
  <c r="F674" i="1"/>
  <c r="F672" i="1"/>
  <c r="F670" i="1"/>
  <c r="E676" i="1"/>
  <c r="E674" i="1"/>
  <c r="E672" i="1"/>
  <c r="E670" i="1"/>
  <c r="H675" i="1"/>
  <c r="H671" i="1"/>
  <c r="G676" i="1"/>
  <c r="G674" i="1"/>
  <c r="G672" i="1"/>
  <c r="G670" i="1"/>
  <c r="D672" i="1"/>
  <c r="B676" i="1"/>
  <c r="B672" i="1"/>
  <c r="A676" i="1"/>
  <c r="A672" i="1"/>
  <c r="H674" i="1"/>
  <c r="H670" i="1"/>
  <c r="C676" i="1"/>
  <c r="C674" i="1"/>
  <c r="C672" i="1"/>
  <c r="C670" i="1"/>
  <c r="D675" i="1"/>
  <c r="D671" i="1"/>
  <c r="F675" i="1"/>
  <c r="F673" i="1"/>
  <c r="F671" i="1"/>
  <c r="F669" i="1"/>
  <c r="E675" i="1"/>
  <c r="E673" i="1"/>
  <c r="E671" i="1"/>
  <c r="E669" i="1"/>
  <c r="H673" i="1"/>
  <c r="D670" i="1"/>
  <c r="G675" i="1"/>
  <c r="G673" i="1"/>
  <c r="G671" i="1"/>
  <c r="G669" i="1"/>
  <c r="D674" i="1"/>
  <c r="H669" i="1"/>
  <c r="B675" i="1"/>
  <c r="B673" i="1"/>
  <c r="B671" i="1"/>
  <c r="B669" i="1"/>
  <c r="A675" i="1"/>
  <c r="A673" i="1"/>
  <c r="A671" i="1"/>
  <c r="D676" i="1"/>
  <c r="B674" i="1"/>
  <c r="B670" i="1"/>
  <c r="A674" i="1"/>
  <c r="A670" i="1"/>
  <c r="E624" i="1"/>
  <c r="A626" i="1"/>
  <c r="D628" i="1"/>
  <c r="G630" i="1"/>
  <c r="C624" i="1"/>
  <c r="F626" i="1"/>
  <c r="B629" i="1"/>
  <c r="G624" i="1"/>
  <c r="C627" i="1"/>
  <c r="F629" i="1"/>
  <c r="D625" i="1"/>
  <c r="G627" i="1"/>
  <c r="C630" i="1"/>
  <c r="G626" i="1"/>
  <c r="A628" i="1"/>
  <c r="C628" i="1"/>
  <c r="F630" i="1"/>
  <c r="G625" i="1"/>
  <c r="E626" i="1"/>
  <c r="A629" i="1"/>
  <c r="B624" i="1"/>
  <c r="B627" i="1"/>
  <c r="E629" i="1"/>
  <c r="F624" i="1"/>
  <c r="F627" i="1"/>
  <c r="B630" i="1"/>
  <c r="C625" i="1"/>
  <c r="F628" i="1"/>
  <c r="E625" i="1"/>
  <c r="E630" i="1"/>
  <c r="C626" i="1"/>
  <c r="B628" i="1"/>
  <c r="G628" i="1"/>
  <c r="A624" i="1"/>
  <c r="D626" i="1"/>
  <c r="D629" i="1"/>
  <c r="B625" i="1"/>
  <c r="A627" i="1"/>
  <c r="A630" i="1"/>
  <c r="F625" i="1"/>
  <c r="E627" i="1"/>
  <c r="D630" i="1"/>
  <c r="D627" i="1"/>
  <c r="G629" i="1"/>
  <c r="B626" i="1"/>
  <c r="E628" i="1"/>
  <c r="D624" i="1"/>
  <c r="A625" i="1"/>
  <c r="C629" i="1"/>
  <c r="B591" i="1"/>
  <c r="G597" i="1"/>
  <c r="A596" i="1"/>
  <c r="D593" i="1"/>
  <c r="C597" i="1"/>
  <c r="D595" i="1"/>
  <c r="G592" i="1"/>
  <c r="B596" i="1"/>
  <c r="C594" i="1"/>
  <c r="F591" i="1"/>
  <c r="F596" i="1"/>
  <c r="G594" i="1"/>
  <c r="C592" i="1"/>
  <c r="E597" i="1"/>
  <c r="E595" i="1"/>
  <c r="F593" i="1"/>
  <c r="A597" i="1"/>
  <c r="A595" i="1"/>
  <c r="B593" i="1"/>
  <c r="G595" i="1"/>
  <c r="G593" i="1"/>
  <c r="A592" i="1"/>
  <c r="D596" i="1"/>
  <c r="D594" i="1"/>
  <c r="E592" i="1"/>
  <c r="C595" i="1"/>
  <c r="C593" i="1"/>
  <c r="F594" i="1"/>
  <c r="F592" i="1"/>
  <c r="D597" i="1"/>
  <c r="E593" i="1"/>
  <c r="C596" i="1"/>
  <c r="B594" i="1"/>
  <c r="B592" i="1"/>
  <c r="D591" i="1"/>
  <c r="E591" i="1"/>
  <c r="G596" i="1"/>
  <c r="A593" i="1"/>
  <c r="A591" i="1"/>
  <c r="F595" i="1"/>
  <c r="D592" i="1"/>
  <c r="F597" i="1"/>
  <c r="B595" i="1"/>
  <c r="C591" i="1"/>
  <c r="E596" i="1"/>
  <c r="A594" i="1"/>
  <c r="G591" i="1"/>
  <c r="B597" i="1"/>
  <c r="E594" i="1"/>
  <c r="D544" i="1"/>
  <c r="D549" i="1"/>
  <c r="B547" i="1"/>
  <c r="G544" i="1"/>
  <c r="C550" i="1"/>
  <c r="A548" i="1"/>
  <c r="F545" i="1"/>
  <c r="D550" i="1"/>
  <c r="B548" i="1"/>
  <c r="C545" i="1"/>
  <c r="B550" i="1"/>
  <c r="G547" i="1"/>
  <c r="E545" i="1"/>
  <c r="E550" i="1"/>
  <c r="A546" i="1"/>
  <c r="B549" i="1"/>
  <c r="E544" i="1"/>
  <c r="D546" i="1"/>
  <c r="A549" i="1"/>
  <c r="F547" i="1"/>
  <c r="G550" i="1"/>
  <c r="C546" i="1"/>
  <c r="F548" i="1"/>
  <c r="F550" i="1"/>
  <c r="B546" i="1"/>
  <c r="G548" i="1"/>
  <c r="E546" i="1"/>
  <c r="C544" i="1"/>
  <c r="F549" i="1"/>
  <c r="D547" i="1"/>
  <c r="B545" i="1"/>
  <c r="G549" i="1"/>
  <c r="E547" i="1"/>
  <c r="F544" i="1"/>
  <c r="E549" i="1"/>
  <c r="C547" i="1"/>
  <c r="A545" i="1"/>
  <c r="C548" i="1"/>
  <c r="A547" i="1"/>
  <c r="G546" i="1"/>
  <c r="C549" i="1"/>
  <c r="B544" i="1"/>
  <c r="F546" i="1"/>
  <c r="A550" i="1"/>
  <c r="D545" i="1"/>
  <c r="E548" i="1"/>
  <c r="A544" i="1"/>
  <c r="G545" i="1"/>
  <c r="D548" i="1"/>
  <c r="A495" i="1" a="1"/>
  <c r="A458" i="1" a="1"/>
  <c r="B458" i="1" s="1"/>
  <c r="C423" i="1"/>
  <c r="C421" i="1"/>
  <c r="D425" i="1"/>
  <c r="C424" i="1"/>
  <c r="A421" i="1"/>
  <c r="C422" i="1"/>
  <c r="A426" i="1"/>
  <c r="A424" i="1"/>
  <c r="B423" i="1"/>
  <c r="B421" i="1"/>
  <c r="A425" i="1"/>
  <c r="B424" i="1"/>
  <c r="A423" i="1"/>
  <c r="B422" i="1"/>
  <c r="E426" i="1"/>
  <c r="F425" i="1"/>
  <c r="E424" i="1"/>
  <c r="F423" i="1"/>
  <c r="E422" i="1"/>
  <c r="D424" i="1"/>
  <c r="D422" i="1"/>
  <c r="C426" i="1"/>
  <c r="D423" i="1"/>
  <c r="D421" i="1"/>
  <c r="B425" i="1"/>
  <c r="A422" i="1"/>
  <c r="B426" i="1"/>
  <c r="F421" i="1"/>
  <c r="F426" i="1"/>
  <c r="E425" i="1"/>
  <c r="F424" i="1"/>
  <c r="E423" i="1"/>
  <c r="F422" i="1"/>
  <c r="E421" i="1"/>
  <c r="D426" i="1"/>
  <c r="A1070" i="1" l="1"/>
  <c r="A1071" i="1" s="1"/>
  <c r="A1028" i="1"/>
  <c r="A1029" i="1" s="1"/>
  <c r="A966" i="1" a="1"/>
  <c r="A966" i="1" s="1"/>
  <c r="A912" i="1"/>
  <c r="A913" i="1" s="1"/>
  <c r="A873" i="1"/>
  <c r="A874" i="1" s="1"/>
  <c r="A816" i="1" a="1"/>
  <c r="A730" i="1"/>
  <c r="A731" i="1" s="1"/>
  <c r="A766" i="1"/>
  <c r="A767" i="1" s="1"/>
  <c r="A678" i="1" a="1"/>
  <c r="C678" i="1" s="1"/>
  <c r="A632" i="1"/>
  <c r="A633" i="1" s="1"/>
  <c r="A599" i="1"/>
  <c r="A600" i="1" s="1"/>
  <c r="A552" i="1" a="1"/>
  <c r="A552" i="1" s="1"/>
  <c r="D495" i="1"/>
  <c r="D500" i="1"/>
  <c r="B495" i="1"/>
  <c r="B496" i="1"/>
  <c r="D498" i="1"/>
  <c r="C499" i="1"/>
  <c r="A498" i="1"/>
  <c r="F496" i="1"/>
  <c r="F499" i="1"/>
  <c r="A500" i="1"/>
  <c r="C495" i="1"/>
  <c r="F497" i="1"/>
  <c r="F498" i="1"/>
  <c r="E495" i="1"/>
  <c r="D497" i="1"/>
  <c r="F500" i="1"/>
  <c r="D499" i="1"/>
  <c r="A497" i="1"/>
  <c r="F495" i="1"/>
  <c r="D496" i="1"/>
  <c r="B500" i="1"/>
  <c r="E500" i="1"/>
  <c r="C498" i="1"/>
  <c r="C496" i="1"/>
  <c r="E499" i="1"/>
  <c r="C500" i="1"/>
  <c r="A495" i="1"/>
  <c r="A499" i="1"/>
  <c r="B499" i="1"/>
  <c r="B497" i="1"/>
  <c r="B498" i="1"/>
  <c r="E498" i="1"/>
  <c r="E496" i="1"/>
  <c r="E497" i="1"/>
  <c r="A496" i="1"/>
  <c r="C497" i="1"/>
  <c r="D458" i="1"/>
  <c r="E461" i="1"/>
  <c r="F461" i="1"/>
  <c r="E460" i="1"/>
  <c r="A459" i="1"/>
  <c r="D459" i="1"/>
  <c r="F459" i="1"/>
  <c r="E458" i="1"/>
  <c r="A462" i="1"/>
  <c r="C462" i="1"/>
  <c r="F460" i="1"/>
  <c r="B461" i="1"/>
  <c r="D462" i="1"/>
  <c r="C459" i="1"/>
  <c r="D461" i="1"/>
  <c r="E463" i="1"/>
  <c r="C458" i="1"/>
  <c r="A460" i="1"/>
  <c r="C463" i="1"/>
  <c r="B462" i="1"/>
  <c r="D460" i="1"/>
  <c r="B459" i="1"/>
  <c r="A463" i="1"/>
  <c r="B463" i="1"/>
  <c r="F463" i="1"/>
  <c r="C461" i="1"/>
  <c r="E462" i="1"/>
  <c r="A461" i="1"/>
  <c r="D463" i="1"/>
  <c r="E459" i="1"/>
  <c r="A458" i="1"/>
  <c r="C460" i="1"/>
  <c r="F458" i="1"/>
  <c r="F462" i="1"/>
  <c r="B460" i="1"/>
  <c r="A428" i="1" a="1"/>
  <c r="C428" i="1" s="1"/>
  <c r="I966" i="1" l="1"/>
  <c r="B969" i="1"/>
  <c r="I974" i="1"/>
  <c r="D967" i="1"/>
  <c r="I975" i="1"/>
  <c r="D973" i="1"/>
  <c r="D971" i="1"/>
  <c r="A972" i="1"/>
  <c r="B974" i="1"/>
  <c r="E971" i="1"/>
  <c r="J967" i="1"/>
  <c r="D974" i="1"/>
  <c r="B972" i="1"/>
  <c r="G969" i="1"/>
  <c r="F966" i="1"/>
  <c r="A969" i="1"/>
  <c r="E975" i="1"/>
  <c r="J971" i="1"/>
  <c r="F968" i="1"/>
  <c r="C969" i="1"/>
  <c r="G975" i="1"/>
  <c r="G968" i="1"/>
  <c r="A975" i="1"/>
  <c r="F971" i="1"/>
  <c r="B968" i="1"/>
  <c r="C973" i="1"/>
  <c r="F975" i="1"/>
  <c r="I967" i="1"/>
  <c r="A970" i="1"/>
  <c r="D972" i="1"/>
  <c r="A971" i="1"/>
  <c r="C967" i="1"/>
  <c r="G973" i="1"/>
  <c r="G966" i="1"/>
  <c r="A973" i="1"/>
  <c r="F969" i="1"/>
  <c r="J975" i="1"/>
  <c r="D975" i="1"/>
  <c r="C971" i="1"/>
  <c r="F972" i="1"/>
  <c r="G970" i="1"/>
  <c r="B967" i="1"/>
  <c r="F973" i="1"/>
  <c r="F970" i="1"/>
  <c r="I970" i="1"/>
  <c r="H971" i="1"/>
  <c r="C970" i="1"/>
  <c r="H966" i="1"/>
  <c r="B973" i="1"/>
  <c r="B970" i="1"/>
  <c r="C966" i="1"/>
  <c r="F974" i="1"/>
  <c r="C974" i="1"/>
  <c r="H969" i="1"/>
  <c r="J968" i="1"/>
  <c r="F967" i="1"/>
  <c r="I968" i="1"/>
  <c r="C975" i="1"/>
  <c r="C968" i="1"/>
  <c r="G974" i="1"/>
  <c r="B971" i="1"/>
  <c r="H967" i="1"/>
  <c r="E966" i="1"/>
  <c r="I972" i="1"/>
  <c r="H975" i="1"/>
  <c r="C972" i="1"/>
  <c r="H968" i="1"/>
  <c r="B975" i="1"/>
  <c r="H973" i="1"/>
  <c r="E972" i="1"/>
  <c r="J974" i="1"/>
  <c r="I971" i="1"/>
  <c r="D968" i="1"/>
  <c r="H974" i="1"/>
  <c r="J972" i="1"/>
  <c r="G972" i="1"/>
  <c r="E968" i="1"/>
  <c r="H970" i="1"/>
  <c r="E969" i="1"/>
  <c r="G971" i="1"/>
  <c r="J973" i="1"/>
  <c r="E970" i="1"/>
  <c r="J970" i="1"/>
  <c r="I969" i="1"/>
  <c r="D966" i="1"/>
  <c r="H972" i="1"/>
  <c r="D969" i="1"/>
  <c r="A968" i="1"/>
  <c r="E974" i="1"/>
  <c r="E967" i="1"/>
  <c r="I973" i="1"/>
  <c r="D970" i="1"/>
  <c r="J966" i="1"/>
  <c r="G967" i="1"/>
  <c r="A974" i="1"/>
  <c r="A967" i="1"/>
  <c r="E973" i="1"/>
  <c r="J969" i="1"/>
  <c r="B966" i="1"/>
  <c r="A816" i="1"/>
  <c r="H824" i="1"/>
  <c r="F817" i="1"/>
  <c r="D821" i="1"/>
  <c r="H820" i="1"/>
  <c r="I823" i="1"/>
  <c r="B822" i="1"/>
  <c r="D820" i="1"/>
  <c r="F818" i="1"/>
  <c r="H816" i="1"/>
  <c r="H823" i="1"/>
  <c r="A822" i="1"/>
  <c r="C820" i="1"/>
  <c r="E818" i="1"/>
  <c r="G816" i="1"/>
  <c r="G823" i="1"/>
  <c r="I821" i="1"/>
  <c r="B820" i="1"/>
  <c r="D818" i="1"/>
  <c r="F816" i="1"/>
  <c r="A824" i="1"/>
  <c r="C822" i="1"/>
  <c r="E820" i="1"/>
  <c r="G818" i="1"/>
  <c r="I816" i="1"/>
  <c r="C821" i="1"/>
  <c r="E819" i="1"/>
  <c r="G817" i="1"/>
  <c r="I822" i="1"/>
  <c r="D819" i="1"/>
  <c r="H822" i="1"/>
  <c r="C819" i="1"/>
  <c r="I824" i="1"/>
  <c r="F819" i="1"/>
  <c r="D824" i="1"/>
  <c r="A819" i="1"/>
  <c r="C824" i="1"/>
  <c r="G820" i="1"/>
  <c r="B817" i="1"/>
  <c r="D822" i="1"/>
  <c r="H818" i="1"/>
  <c r="E824" i="1"/>
  <c r="I820" i="1"/>
  <c r="D817" i="1"/>
  <c r="E823" i="1"/>
  <c r="G821" i="1"/>
  <c r="I819" i="1"/>
  <c r="B818" i="1"/>
  <c r="D816" i="1"/>
  <c r="D823" i="1"/>
  <c r="F821" i="1"/>
  <c r="H819" i="1"/>
  <c r="A818" i="1"/>
  <c r="C816" i="1"/>
  <c r="C823" i="1"/>
  <c r="E821" i="1"/>
  <c r="G819" i="1"/>
  <c r="I817" i="1"/>
  <c r="B816" i="1"/>
  <c r="F823" i="1"/>
  <c r="H821" i="1"/>
  <c r="A820" i="1"/>
  <c r="C818" i="1"/>
  <c r="E816" i="1"/>
  <c r="A823" i="1"/>
  <c r="G824" i="1"/>
  <c r="B821" i="1"/>
  <c r="F824" i="1"/>
  <c r="A821" i="1"/>
  <c r="E817" i="1"/>
  <c r="B823" i="1"/>
  <c r="H817" i="1"/>
  <c r="F822" i="1"/>
  <c r="C817" i="1"/>
  <c r="E822" i="1"/>
  <c r="I818" i="1"/>
  <c r="B824" i="1"/>
  <c r="F820" i="1"/>
  <c r="A817" i="1"/>
  <c r="G822" i="1"/>
  <c r="B819" i="1"/>
  <c r="G683" i="1"/>
  <c r="G684" i="1"/>
  <c r="H684" i="1"/>
  <c r="E684" i="1"/>
  <c r="F684" i="1"/>
  <c r="C685" i="1"/>
  <c r="D685" i="1"/>
  <c r="A685" i="1"/>
  <c r="B685" i="1"/>
  <c r="H679" i="1"/>
  <c r="E679" i="1"/>
  <c r="F679" i="1"/>
  <c r="C680" i="1"/>
  <c r="D680" i="1"/>
  <c r="A680" i="1"/>
  <c r="B680" i="1"/>
  <c r="G678" i="1"/>
  <c r="H678" i="1"/>
  <c r="E678" i="1"/>
  <c r="F678" i="1"/>
  <c r="C679" i="1"/>
  <c r="D679" i="1"/>
  <c r="A679" i="1"/>
  <c r="B679" i="1"/>
  <c r="G679" i="1"/>
  <c r="H681" i="1"/>
  <c r="E681" i="1"/>
  <c r="F681" i="1"/>
  <c r="C682" i="1"/>
  <c r="D682" i="1"/>
  <c r="A682" i="1"/>
  <c r="B682" i="1"/>
  <c r="G680" i="1"/>
  <c r="H680" i="1"/>
  <c r="E680" i="1"/>
  <c r="F680" i="1"/>
  <c r="C681" i="1"/>
  <c r="D681" i="1"/>
  <c r="A681" i="1"/>
  <c r="B681" i="1"/>
  <c r="G681" i="1"/>
  <c r="H683" i="1"/>
  <c r="E683" i="1"/>
  <c r="F683" i="1"/>
  <c r="C684" i="1"/>
  <c r="D684" i="1"/>
  <c r="A684" i="1"/>
  <c r="B684" i="1"/>
  <c r="G682" i="1"/>
  <c r="H682" i="1"/>
  <c r="E682" i="1"/>
  <c r="F682" i="1"/>
  <c r="C683" i="1"/>
  <c r="D683" i="1"/>
  <c r="A683" i="1"/>
  <c r="B683" i="1"/>
  <c r="G685" i="1"/>
  <c r="H685" i="1"/>
  <c r="E685" i="1"/>
  <c r="F685" i="1"/>
  <c r="D678" i="1"/>
  <c r="A678" i="1"/>
  <c r="B678" i="1"/>
  <c r="E555" i="1"/>
  <c r="E553" i="1"/>
  <c r="G558" i="1"/>
  <c r="G554" i="1"/>
  <c r="F556" i="1"/>
  <c r="D552" i="1"/>
  <c r="C558" i="1"/>
  <c r="D558" i="1"/>
  <c r="D556" i="1"/>
  <c r="F557" i="1"/>
  <c r="G552" i="1"/>
  <c r="C555" i="1"/>
  <c r="C553" i="1"/>
  <c r="A558" i="1"/>
  <c r="C554" i="1"/>
  <c r="E552" i="1"/>
  <c r="D554" i="1"/>
  <c r="G556" i="1"/>
  <c r="F553" i="1"/>
  <c r="G553" i="1"/>
  <c r="B554" i="1"/>
  <c r="D555" i="1"/>
  <c r="C557" i="1"/>
  <c r="A553" i="1"/>
  <c r="D553" i="1"/>
  <c r="G555" i="1"/>
  <c r="B556" i="1"/>
  <c r="B557" i="1"/>
  <c r="C552" i="1"/>
  <c r="F554" i="1"/>
  <c r="G557" i="1"/>
  <c r="A554" i="1"/>
  <c r="F558" i="1"/>
  <c r="F552" i="1"/>
  <c r="B555" i="1"/>
  <c r="E557" i="1"/>
  <c r="A556" i="1"/>
  <c r="F555" i="1"/>
  <c r="B558" i="1"/>
  <c r="C556" i="1"/>
  <c r="B552" i="1"/>
  <c r="E554" i="1"/>
  <c r="A557" i="1"/>
  <c r="E556" i="1"/>
  <c r="E558" i="1"/>
  <c r="B553" i="1"/>
  <c r="A555" i="1"/>
  <c r="D557" i="1"/>
  <c r="A502" i="1" a="1"/>
  <c r="C505" i="1" s="1"/>
  <c r="A465" i="1" a="1"/>
  <c r="E428" i="1"/>
  <c r="B433" i="1"/>
  <c r="B429" i="1"/>
  <c r="A433" i="1"/>
  <c r="C431" i="1"/>
  <c r="A431" i="1"/>
  <c r="C429" i="1"/>
  <c r="A429" i="1"/>
  <c r="F433" i="1"/>
  <c r="B432" i="1"/>
  <c r="F431" i="1"/>
  <c r="B430" i="1"/>
  <c r="C430" i="1"/>
  <c r="D433" i="1"/>
  <c r="D431" i="1"/>
  <c r="B431" i="1"/>
  <c r="D429" i="1"/>
  <c r="C433" i="1"/>
  <c r="F429" i="1"/>
  <c r="B428" i="1"/>
  <c r="E433" i="1"/>
  <c r="A432" i="1"/>
  <c r="E431" i="1"/>
  <c r="A430" i="1"/>
  <c r="E429" i="1"/>
  <c r="A428" i="1"/>
  <c r="F432" i="1"/>
  <c r="D432" i="1"/>
  <c r="F430" i="1"/>
  <c r="D430" i="1"/>
  <c r="F428" i="1"/>
  <c r="D428" i="1"/>
  <c r="E432" i="1"/>
  <c r="C432" i="1"/>
  <c r="E430" i="1"/>
  <c r="A977" i="1" l="1"/>
  <c r="A978" i="1" s="1"/>
  <c r="A826" i="1"/>
  <c r="A827" i="1" s="1"/>
  <c r="A687" i="1"/>
  <c r="A688" i="1" s="1"/>
  <c r="A560" i="1"/>
  <c r="A561" i="1" s="1"/>
  <c r="C502" i="1"/>
  <c r="F503" i="1"/>
  <c r="F502" i="1"/>
  <c r="B502" i="1"/>
  <c r="A505" i="1"/>
  <c r="B505" i="1"/>
  <c r="E502" i="1"/>
  <c r="F507" i="1"/>
  <c r="B503" i="1"/>
  <c r="E507" i="1"/>
  <c r="C506" i="1"/>
  <c r="E504" i="1"/>
  <c r="D504" i="1"/>
  <c r="A503" i="1"/>
  <c r="C504" i="1"/>
  <c r="D503" i="1"/>
  <c r="F505" i="1"/>
  <c r="B507" i="1"/>
  <c r="F506" i="1"/>
  <c r="A506" i="1"/>
  <c r="D506" i="1"/>
  <c r="E506" i="1"/>
  <c r="A502" i="1"/>
  <c r="E503" i="1"/>
  <c r="D502" i="1"/>
  <c r="B506" i="1"/>
  <c r="F504" i="1"/>
  <c r="C507" i="1"/>
  <c r="B504" i="1"/>
  <c r="D505" i="1"/>
  <c r="E505" i="1"/>
  <c r="A507" i="1"/>
  <c r="D507" i="1"/>
  <c r="C503" i="1"/>
  <c r="A504" i="1"/>
  <c r="E470" i="1"/>
  <c r="B470" i="1"/>
  <c r="A467" i="1"/>
  <c r="F465" i="1"/>
  <c r="A469" i="1"/>
  <c r="F467" i="1"/>
  <c r="A466" i="1"/>
  <c r="F469" i="1"/>
  <c r="D465" i="1"/>
  <c r="E467" i="1"/>
  <c r="B466" i="1"/>
  <c r="E466" i="1"/>
  <c r="D467" i="1"/>
  <c r="C469" i="1"/>
  <c r="D469" i="1"/>
  <c r="C466" i="1"/>
  <c r="B465" i="1"/>
  <c r="C468" i="1"/>
  <c r="B467" i="1"/>
  <c r="C470" i="1"/>
  <c r="B469" i="1"/>
  <c r="A470" i="1"/>
  <c r="C465" i="1"/>
  <c r="F466" i="1"/>
  <c r="A468" i="1"/>
  <c r="F468" i="1"/>
  <c r="E465" i="1"/>
  <c r="F470" i="1"/>
  <c r="A465" i="1"/>
  <c r="B468" i="1"/>
  <c r="D466" i="1"/>
  <c r="E469" i="1"/>
  <c r="D468" i="1"/>
  <c r="E468" i="1"/>
  <c r="D470" i="1"/>
  <c r="C467" i="1"/>
  <c r="A435" i="1"/>
  <c r="A436" i="1" s="1"/>
  <c r="A509" i="1" l="1"/>
  <c r="A510" i="1" s="1"/>
  <c r="A472" i="1"/>
  <c r="A473" i="1" s="1"/>
  <c r="E388" i="1"/>
  <c r="D387" i="1"/>
  <c r="C386" i="1"/>
  <c r="B385" i="1"/>
  <c r="A384" i="1"/>
  <c r="A352" i="1"/>
  <c r="A353" i="1"/>
  <c r="A354" i="1"/>
  <c r="A355" i="1"/>
  <c r="A351" i="1"/>
  <c r="B352" i="1"/>
  <c r="B353" i="1"/>
  <c r="B354" i="1"/>
  <c r="B355" i="1"/>
  <c r="B351" i="1"/>
  <c r="A319" i="1"/>
  <c r="A320" i="1"/>
  <c r="A321" i="1"/>
  <c r="A322" i="1"/>
  <c r="A318" i="1"/>
  <c r="A315" i="1"/>
  <c r="A290" i="1" a="1"/>
  <c r="D290" i="1" s="1"/>
  <c r="D296" i="1" s="1"/>
  <c r="D269" i="1"/>
  <c r="C268" i="1"/>
  <c r="B267" i="1"/>
  <c r="A266" i="1"/>
  <c r="A239" i="1"/>
  <c r="A240" i="1"/>
  <c r="B239" i="1"/>
  <c r="B240" i="1"/>
  <c r="B241" i="1"/>
  <c r="B238" i="1"/>
  <c r="A241" i="1"/>
  <c r="A238" i="1"/>
  <c r="A210" i="1"/>
  <c r="A211" i="1"/>
  <c r="A212" i="1"/>
  <c r="A209" i="1"/>
  <c r="A185" i="1" a="1"/>
  <c r="C185" i="1" s="1"/>
  <c r="C190" i="1" s="1"/>
  <c r="A390" i="1" l="1" a="1"/>
  <c r="A390" i="1" s="1"/>
  <c r="A357" i="1" a="1"/>
  <c r="D357" i="1" s="1"/>
  <c r="D363" i="1" s="1"/>
  <c r="A324" i="1" a="1"/>
  <c r="A324" i="1" s="1"/>
  <c r="A329" i="1" s="1"/>
  <c r="D293" i="1"/>
  <c r="D292" i="1"/>
  <c r="D294" i="1"/>
  <c r="D295" i="1"/>
  <c r="C290" i="1"/>
  <c r="B290" i="1"/>
  <c r="E290" i="1"/>
  <c r="A290" i="1"/>
  <c r="A271" i="1" a="1"/>
  <c r="D271" i="1" s="1"/>
  <c r="A243" i="1" a="1"/>
  <c r="A243" i="1" s="1"/>
  <c r="A246" i="1" s="1"/>
  <c r="A214" i="1" a="1"/>
  <c r="D214" i="1" s="1"/>
  <c r="D217" i="1" s="1"/>
  <c r="C188" i="1"/>
  <c r="C187" i="1"/>
  <c r="C189" i="1"/>
  <c r="B185" i="1"/>
  <c r="A185" i="1"/>
  <c r="D185" i="1"/>
  <c r="C166" i="1"/>
  <c r="B165" i="1"/>
  <c r="A164" i="1"/>
  <c r="A117" i="1"/>
  <c r="A118" i="1"/>
  <c r="A116" i="1"/>
  <c r="A96" i="1" a="1"/>
  <c r="A96" i="1" s="1"/>
  <c r="A394" i="1" l="1"/>
  <c r="E391" i="1"/>
  <c r="D390" i="1"/>
  <c r="E393" i="1"/>
  <c r="A392" i="1"/>
  <c r="D391" i="1"/>
  <c r="D392" i="1"/>
  <c r="D394" i="1"/>
  <c r="C392" i="1"/>
  <c r="B390" i="1"/>
  <c r="C393" i="1"/>
  <c r="B392" i="1"/>
  <c r="C390" i="1"/>
  <c r="D393" i="1"/>
  <c r="E394" i="1"/>
  <c r="C391" i="1"/>
  <c r="E392" i="1"/>
  <c r="B393" i="1"/>
  <c r="A391" i="1"/>
  <c r="B394" i="1"/>
  <c r="A393" i="1"/>
  <c r="B391" i="1"/>
  <c r="C394" i="1"/>
  <c r="E390" i="1"/>
  <c r="B357" i="1"/>
  <c r="B360" i="1" s="1"/>
  <c r="D359" i="1"/>
  <c r="D362" i="1"/>
  <c r="C357" i="1"/>
  <c r="C361" i="1" s="1"/>
  <c r="A357" i="1"/>
  <c r="A362" i="1" s="1"/>
  <c r="D360" i="1"/>
  <c r="D361" i="1"/>
  <c r="E357" i="1"/>
  <c r="E363" i="1" s="1"/>
  <c r="C324" i="1"/>
  <c r="C330" i="1" s="1"/>
  <c r="D324" i="1"/>
  <c r="D329" i="1" s="1"/>
  <c r="A327" i="1"/>
  <c r="E324" i="1"/>
  <c r="E330" i="1" s="1"/>
  <c r="A328" i="1"/>
  <c r="B324" i="1"/>
  <c r="A326" i="1"/>
  <c r="A330" i="1"/>
  <c r="A292" i="1"/>
  <c r="A296" i="1"/>
  <c r="A293" i="1"/>
  <c r="A294" i="1"/>
  <c r="A295" i="1"/>
  <c r="B294" i="1"/>
  <c r="B296" i="1"/>
  <c r="B292" i="1"/>
  <c r="B293" i="1"/>
  <c r="B295" i="1"/>
  <c r="E296" i="1"/>
  <c r="E292" i="1"/>
  <c r="E295" i="1"/>
  <c r="E294" i="1"/>
  <c r="E293" i="1"/>
  <c r="C295" i="1"/>
  <c r="C293" i="1"/>
  <c r="C294" i="1"/>
  <c r="C292" i="1"/>
  <c r="C296" i="1"/>
  <c r="D274" i="1"/>
  <c r="A274" i="1"/>
  <c r="B274" i="1"/>
  <c r="C274" i="1"/>
  <c r="D272" i="1"/>
  <c r="A272" i="1"/>
  <c r="B272" i="1"/>
  <c r="C272" i="1"/>
  <c r="A271" i="1"/>
  <c r="B271" i="1"/>
  <c r="C271" i="1"/>
  <c r="D273" i="1"/>
  <c r="A273" i="1"/>
  <c r="B273" i="1"/>
  <c r="C273" i="1"/>
  <c r="B243" i="1"/>
  <c r="B246" i="1" s="1"/>
  <c r="A247" i="1"/>
  <c r="A248" i="1"/>
  <c r="D243" i="1"/>
  <c r="D248" i="1" s="1"/>
  <c r="C243" i="1"/>
  <c r="C247" i="1" s="1"/>
  <c r="A245" i="1"/>
  <c r="B214" i="1"/>
  <c r="B217" i="1" s="1"/>
  <c r="D218" i="1"/>
  <c r="A214" i="1"/>
  <c r="A218" i="1" s="1"/>
  <c r="C214" i="1"/>
  <c r="C217" i="1" s="1"/>
  <c r="D219" i="1"/>
  <c r="D216" i="1"/>
  <c r="B187" i="1"/>
  <c r="B189" i="1"/>
  <c r="B188" i="1"/>
  <c r="B190" i="1"/>
  <c r="D190" i="1"/>
  <c r="D188" i="1"/>
  <c r="D187" i="1"/>
  <c r="D189" i="1"/>
  <c r="A188" i="1"/>
  <c r="A190" i="1"/>
  <c r="A189" i="1"/>
  <c r="A187" i="1"/>
  <c r="A168" i="1" a="1"/>
  <c r="C168" i="1" s="1"/>
  <c r="A100" i="1"/>
  <c r="A99" i="1"/>
  <c r="A98" i="1"/>
  <c r="C96" i="1"/>
  <c r="B96" i="1"/>
  <c r="A120" i="1" a="1"/>
  <c r="B120" i="1" s="1"/>
  <c r="C329" i="1" l="1"/>
  <c r="C326" i="1"/>
  <c r="C327" i="1"/>
  <c r="A396" i="1" a="1"/>
  <c r="B396" i="1" s="1"/>
  <c r="B363" i="1"/>
  <c r="C363" i="1"/>
  <c r="E359" i="1"/>
  <c r="C360" i="1"/>
  <c r="C359" i="1"/>
  <c r="E361" i="1"/>
  <c r="E362" i="1"/>
  <c r="C362" i="1"/>
  <c r="E360" i="1"/>
  <c r="B361" i="1"/>
  <c r="B362" i="1"/>
  <c r="E326" i="1"/>
  <c r="C328" i="1"/>
  <c r="A361" i="1"/>
  <c r="A359" i="1"/>
  <c r="A360" i="1"/>
  <c r="A363" i="1"/>
  <c r="B359" i="1"/>
  <c r="E327" i="1"/>
  <c r="E329" i="1"/>
  <c r="D327" i="1"/>
  <c r="E328" i="1"/>
  <c r="D326" i="1"/>
  <c r="D328" i="1"/>
  <c r="D330" i="1"/>
  <c r="B330" i="1"/>
  <c r="B327" i="1"/>
  <c r="B328" i="1"/>
  <c r="B329" i="1"/>
  <c r="B326" i="1"/>
  <c r="A298" i="1" a="1"/>
  <c r="B248" i="1"/>
  <c r="C248" i="1"/>
  <c r="C245" i="1"/>
  <c r="B247" i="1"/>
  <c r="C246" i="1"/>
  <c r="B245" i="1"/>
  <c r="A276" i="1" a="1"/>
  <c r="D245" i="1"/>
  <c r="D246" i="1"/>
  <c r="D247" i="1"/>
  <c r="B216" i="1"/>
  <c r="B218" i="1"/>
  <c r="C219" i="1"/>
  <c r="B219" i="1"/>
  <c r="A219" i="1"/>
  <c r="A217" i="1"/>
  <c r="A216" i="1"/>
  <c r="C218" i="1"/>
  <c r="C216" i="1"/>
  <c r="A192" i="1" a="1"/>
  <c r="A168" i="1"/>
  <c r="B169" i="1"/>
  <c r="A170" i="1"/>
  <c r="B168" i="1"/>
  <c r="B170" i="1"/>
  <c r="C169" i="1"/>
  <c r="A169" i="1"/>
  <c r="C170" i="1"/>
  <c r="B98" i="1"/>
  <c r="B100" i="1"/>
  <c r="B99" i="1"/>
  <c r="C99" i="1"/>
  <c r="C98" i="1"/>
  <c r="C100" i="1"/>
  <c r="B124" i="1"/>
  <c r="A120" i="1"/>
  <c r="C120" i="1"/>
  <c r="B141" i="1"/>
  <c r="B140" i="1"/>
  <c r="B142" i="1"/>
  <c r="A141" i="1"/>
  <c r="A142" i="1"/>
  <c r="A140" i="1"/>
  <c r="B123" i="1"/>
  <c r="E396" i="1" l="1"/>
  <c r="B400" i="1"/>
  <c r="A399" i="1"/>
  <c r="A400" i="1"/>
  <c r="C399" i="1"/>
  <c r="E399" i="1"/>
  <c r="A396" i="1"/>
  <c r="D397" i="1"/>
  <c r="B399" i="1"/>
  <c r="C397" i="1"/>
  <c r="D400" i="1"/>
  <c r="E400" i="1"/>
  <c r="B397" i="1"/>
  <c r="D396" i="1"/>
  <c r="E398" i="1"/>
  <c r="A398" i="1"/>
  <c r="C396" i="1"/>
  <c r="E397" i="1"/>
  <c r="A397" i="1"/>
  <c r="C400" i="1"/>
  <c r="D398" i="1"/>
  <c r="B398" i="1"/>
  <c r="C398" i="1"/>
  <c r="D399" i="1"/>
  <c r="A365" i="1" a="1"/>
  <c r="A332" i="1" a="1"/>
  <c r="D298" i="1"/>
  <c r="C302" i="1"/>
  <c r="B299" i="1"/>
  <c r="B301" i="1"/>
  <c r="D300" i="1"/>
  <c r="A302" i="1"/>
  <c r="E301" i="1"/>
  <c r="E300" i="1"/>
  <c r="A298" i="1"/>
  <c r="A299" i="1"/>
  <c r="E298" i="1"/>
  <c r="B302" i="1"/>
  <c r="C299" i="1"/>
  <c r="D301" i="1"/>
  <c r="C298" i="1"/>
  <c r="D299" i="1"/>
  <c r="E299" i="1"/>
  <c r="C300" i="1"/>
  <c r="A301" i="1"/>
  <c r="C301" i="1"/>
  <c r="B300" i="1"/>
  <c r="A300" i="1"/>
  <c r="E302" i="1"/>
  <c r="B298" i="1"/>
  <c r="D302" i="1"/>
  <c r="A276" i="1"/>
  <c r="D279" i="1"/>
  <c r="C279" i="1"/>
  <c r="B279" i="1"/>
  <c r="A279" i="1"/>
  <c r="D277" i="1"/>
  <c r="C277" i="1"/>
  <c r="B277" i="1"/>
  <c r="A277" i="1"/>
  <c r="D278" i="1"/>
  <c r="C278" i="1"/>
  <c r="B278" i="1"/>
  <c r="A278" i="1"/>
  <c r="D276" i="1"/>
  <c r="C276" i="1"/>
  <c r="B276" i="1"/>
  <c r="A250" i="1" a="1"/>
  <c r="A252" i="1" s="1"/>
  <c r="A221" i="1" a="1"/>
  <c r="D221" i="1" s="1"/>
  <c r="D192" i="1"/>
  <c r="C194" i="1"/>
  <c r="B194" i="1"/>
  <c r="A194" i="1"/>
  <c r="D194" i="1"/>
  <c r="C192" i="1"/>
  <c r="B192" i="1"/>
  <c r="A192" i="1"/>
  <c r="A193" i="1"/>
  <c r="C195" i="1"/>
  <c r="B195" i="1"/>
  <c r="A195" i="1"/>
  <c r="D195" i="1"/>
  <c r="C193" i="1"/>
  <c r="B193" i="1"/>
  <c r="D193" i="1"/>
  <c r="A172" i="1" a="1"/>
  <c r="A172" i="1" s="1"/>
  <c r="A122" i="1"/>
  <c r="A123" i="1"/>
  <c r="A102" i="1" a="1"/>
  <c r="A103" i="1" s="1"/>
  <c r="C123" i="1"/>
  <c r="C124" i="1"/>
  <c r="A144" i="1" a="1"/>
  <c r="C144" i="1" s="1"/>
  <c r="A124" i="1"/>
  <c r="A402" i="1" l="1"/>
  <c r="B365" i="1"/>
  <c r="D367" i="1"/>
  <c r="E368" i="1"/>
  <c r="A367" i="1"/>
  <c r="A369" i="1"/>
  <c r="E365" i="1"/>
  <c r="A368" i="1"/>
  <c r="B369" i="1"/>
  <c r="A366" i="1"/>
  <c r="C369" i="1"/>
  <c r="B366" i="1"/>
  <c r="B368" i="1"/>
  <c r="A365" i="1"/>
  <c r="B367" i="1"/>
  <c r="C368" i="1"/>
  <c r="D368" i="1"/>
  <c r="C365" i="1"/>
  <c r="C367" i="1"/>
  <c r="D369" i="1"/>
  <c r="C366" i="1"/>
  <c r="E367" i="1"/>
  <c r="E369" i="1"/>
  <c r="D366" i="1"/>
  <c r="D365" i="1"/>
  <c r="E366" i="1"/>
  <c r="A332" i="1"/>
  <c r="B334" i="1"/>
  <c r="A334" i="1"/>
  <c r="E336" i="1"/>
  <c r="B333" i="1"/>
  <c r="E332" i="1"/>
  <c r="A333" i="1"/>
  <c r="E335" i="1"/>
  <c r="D335" i="1"/>
  <c r="C332" i="1"/>
  <c r="C335" i="1"/>
  <c r="B332" i="1"/>
  <c r="B335" i="1"/>
  <c r="A335" i="1"/>
  <c r="E334" i="1"/>
  <c r="D336" i="1"/>
  <c r="D334" i="1"/>
  <c r="C334" i="1"/>
  <c r="D332" i="1"/>
  <c r="C333" i="1"/>
  <c r="E333" i="1"/>
  <c r="D333" i="1"/>
  <c r="C336" i="1"/>
  <c r="B336" i="1"/>
  <c r="A336" i="1"/>
  <c r="A304" i="1" a="1"/>
  <c r="C308" i="1" s="1"/>
  <c r="A281" i="1"/>
  <c r="B253" i="1"/>
  <c r="D252" i="1"/>
  <c r="C253" i="1"/>
  <c r="B251" i="1"/>
  <c r="C251" i="1"/>
  <c r="D250" i="1"/>
  <c r="A251" i="1"/>
  <c r="A250" i="1"/>
  <c r="A253" i="1"/>
  <c r="B250" i="1"/>
  <c r="C250" i="1"/>
  <c r="D253" i="1"/>
  <c r="B252" i="1"/>
  <c r="C252" i="1"/>
  <c r="D251" i="1"/>
  <c r="B221" i="1"/>
  <c r="A221" i="1"/>
  <c r="C224" i="1"/>
  <c r="C222" i="1"/>
  <c r="B224" i="1"/>
  <c r="A224" i="1"/>
  <c r="D224" i="1"/>
  <c r="C223" i="1"/>
  <c r="B223" i="1"/>
  <c r="A223" i="1"/>
  <c r="D223" i="1"/>
  <c r="B222" i="1"/>
  <c r="A222" i="1"/>
  <c r="D222" i="1"/>
  <c r="C221" i="1"/>
  <c r="A197" i="1" a="1"/>
  <c r="B200" i="1" s="1"/>
  <c r="A173" i="1"/>
  <c r="B173" i="1"/>
  <c r="C173" i="1"/>
  <c r="B172" i="1"/>
  <c r="C172" i="1"/>
  <c r="A174" i="1"/>
  <c r="C174" i="1"/>
  <c r="B174" i="1"/>
  <c r="B104" i="1"/>
  <c r="B103" i="1"/>
  <c r="A104" i="1"/>
  <c r="C103" i="1"/>
  <c r="B102" i="1"/>
  <c r="C102" i="1"/>
  <c r="C104" i="1"/>
  <c r="A102" i="1"/>
  <c r="C147" i="1"/>
  <c r="C148" i="1"/>
  <c r="A144" i="1"/>
  <c r="A146" i="1" s="1"/>
  <c r="B144" i="1"/>
  <c r="B148" i="1" s="1"/>
  <c r="C146" i="1"/>
  <c r="B122" i="1"/>
  <c r="C122" i="1"/>
  <c r="A371" i="1" l="1" a="1"/>
  <c r="A338" i="1" a="1"/>
  <c r="C305" i="1"/>
  <c r="A308" i="1"/>
  <c r="B308" i="1"/>
  <c r="D304" i="1"/>
  <c r="D308" i="1"/>
  <c r="E305" i="1"/>
  <c r="E306" i="1"/>
  <c r="C306" i="1"/>
  <c r="A307" i="1"/>
  <c r="C304" i="1"/>
  <c r="B307" i="1"/>
  <c r="E307" i="1"/>
  <c r="B305" i="1"/>
  <c r="C307" i="1"/>
  <c r="B306" i="1"/>
  <c r="E308" i="1"/>
  <c r="A306" i="1"/>
  <c r="A304" i="1"/>
  <c r="D306" i="1"/>
  <c r="B304" i="1"/>
  <c r="E304" i="1"/>
  <c r="D307" i="1"/>
  <c r="A305" i="1"/>
  <c r="D305" i="1"/>
  <c r="A255" i="1" a="1"/>
  <c r="A226" i="1" a="1"/>
  <c r="A197" i="1"/>
  <c r="C197" i="1"/>
  <c r="D198" i="1"/>
  <c r="A199" i="1"/>
  <c r="D200" i="1"/>
  <c r="B199" i="1"/>
  <c r="C199" i="1"/>
  <c r="B198" i="1"/>
  <c r="A200" i="1"/>
  <c r="C200" i="1"/>
  <c r="B197" i="1"/>
  <c r="A198" i="1"/>
  <c r="D197" i="1"/>
  <c r="C198" i="1"/>
  <c r="D199" i="1"/>
  <c r="A176" i="1"/>
  <c r="A106" i="1" a="1"/>
  <c r="A126" i="1" a="1"/>
  <c r="A147" i="1"/>
  <c r="A148" i="1"/>
  <c r="B147" i="1"/>
  <c r="B146" i="1"/>
  <c r="D371" i="1" l="1"/>
  <c r="D374" i="1"/>
  <c r="D373" i="1"/>
  <c r="A373" i="1"/>
  <c r="E372" i="1"/>
  <c r="B374" i="1"/>
  <c r="A371" i="1"/>
  <c r="D375" i="1"/>
  <c r="C372" i="1"/>
  <c r="C375" i="1"/>
  <c r="B372" i="1"/>
  <c r="B371" i="1"/>
  <c r="C373" i="1"/>
  <c r="B375" i="1"/>
  <c r="E374" i="1"/>
  <c r="C371" i="1"/>
  <c r="E375" i="1"/>
  <c r="D372" i="1"/>
  <c r="A374" i="1"/>
  <c r="E373" i="1"/>
  <c r="C374" i="1"/>
  <c r="A375" i="1"/>
  <c r="E371" i="1"/>
  <c r="A372" i="1"/>
  <c r="B373" i="1"/>
  <c r="A338" i="1"/>
  <c r="B340" i="1"/>
  <c r="D338" i="1"/>
  <c r="A342" i="1"/>
  <c r="E339" i="1"/>
  <c r="B342" i="1"/>
  <c r="A339" i="1"/>
  <c r="A341" i="1"/>
  <c r="C342" i="1"/>
  <c r="B339" i="1"/>
  <c r="B341" i="1"/>
  <c r="C341" i="1"/>
  <c r="B338" i="1"/>
  <c r="D341" i="1"/>
  <c r="C338" i="1"/>
  <c r="C340" i="1"/>
  <c r="D340" i="1"/>
  <c r="D342" i="1"/>
  <c r="C339" i="1"/>
  <c r="E340" i="1"/>
  <c r="E342" i="1"/>
  <c r="D339" i="1"/>
  <c r="E341" i="1"/>
  <c r="A340" i="1"/>
  <c r="E338" i="1"/>
  <c r="A310" i="1"/>
  <c r="A311" i="1" s="1"/>
  <c r="C255" i="1"/>
  <c r="B258" i="1"/>
  <c r="B257" i="1"/>
  <c r="B255" i="1"/>
  <c r="A258" i="1"/>
  <c r="A256" i="1"/>
  <c r="B256" i="1"/>
  <c r="D258" i="1"/>
  <c r="D257" i="1"/>
  <c r="D256" i="1"/>
  <c r="A257" i="1"/>
  <c r="A255" i="1"/>
  <c r="D255" i="1"/>
  <c r="C258" i="1"/>
  <c r="C257" i="1"/>
  <c r="C256" i="1"/>
  <c r="B226" i="1"/>
  <c r="A229" i="1"/>
  <c r="D228" i="1"/>
  <c r="D227" i="1"/>
  <c r="D226" i="1"/>
  <c r="A226" i="1"/>
  <c r="D229" i="1"/>
  <c r="C227" i="1"/>
  <c r="A228" i="1"/>
  <c r="C229" i="1"/>
  <c r="C228" i="1"/>
  <c r="B227" i="1"/>
  <c r="C226" i="1"/>
  <c r="B229" i="1"/>
  <c r="B228" i="1"/>
  <c r="A227" i="1"/>
  <c r="A202" i="1"/>
  <c r="A203" i="1" s="1"/>
  <c r="C106" i="1"/>
  <c r="B106" i="1"/>
  <c r="B107" i="1"/>
  <c r="B108" i="1"/>
  <c r="C107" i="1"/>
  <c r="A108" i="1"/>
  <c r="A107" i="1"/>
  <c r="A106" i="1"/>
  <c r="C108" i="1"/>
  <c r="A126" i="1"/>
  <c r="B127" i="1"/>
  <c r="C128" i="1"/>
  <c r="B126" i="1"/>
  <c r="C127" i="1"/>
  <c r="C126" i="1"/>
  <c r="A128" i="1"/>
  <c r="A127" i="1"/>
  <c r="B128" i="1"/>
  <c r="A150" i="1" a="1"/>
  <c r="C151" i="1" s="1"/>
  <c r="A377" i="1" l="1"/>
  <c r="A378" i="1" s="1"/>
  <c r="A344" i="1"/>
  <c r="A345" i="1" s="1"/>
  <c r="A260" i="1"/>
  <c r="A261" i="1" s="1"/>
  <c r="A231" i="1"/>
  <c r="A232" i="1" s="1"/>
  <c r="A110" i="1"/>
  <c r="A111" i="1" s="1"/>
  <c r="A130" i="1" a="1"/>
  <c r="A152" i="1"/>
  <c r="A151" i="1"/>
  <c r="C150" i="1"/>
  <c r="C152" i="1"/>
  <c r="B152" i="1"/>
  <c r="B151" i="1"/>
  <c r="B150" i="1"/>
  <c r="A150" i="1"/>
  <c r="A154" i="1" l="1" a="1"/>
  <c r="A154" i="1" s="1"/>
  <c r="C130" i="1"/>
  <c r="A132" i="1"/>
  <c r="A131" i="1"/>
  <c r="B132" i="1"/>
  <c r="A130" i="1"/>
  <c r="B131" i="1"/>
  <c r="C132" i="1"/>
  <c r="B130" i="1"/>
  <c r="C131" i="1"/>
  <c r="A155" i="1" l="1"/>
  <c r="B154" i="1"/>
  <c r="C156" i="1"/>
  <c r="C155" i="1"/>
  <c r="B156" i="1"/>
  <c r="A156" i="1"/>
  <c r="B155" i="1"/>
  <c r="A158" i="1" s="1"/>
  <c r="A159" i="1" s="1"/>
  <c r="C154" i="1"/>
  <c r="A134" i="1"/>
  <c r="A135" i="1" s="1"/>
</calcChain>
</file>

<file path=xl/sharedStrings.xml><?xml version="1.0" encoding="utf-8"?>
<sst xmlns="http://schemas.openxmlformats.org/spreadsheetml/2006/main" count="536" uniqueCount="240">
  <si>
    <t xml:space="preserve">The estimate of parallel reliability (i.e., standardized alpha) is </t>
    <phoneticPr fontId="1" type="noConversion"/>
  </si>
  <si>
    <t>Tau-equivalent model</t>
    <phoneticPr fontId="1" type="noConversion"/>
  </si>
  <si>
    <t>Congeneric model</t>
    <phoneticPr fontId="1" type="noConversion"/>
  </si>
  <si>
    <t>Parallel model</t>
    <phoneticPr fontId="1" type="noConversion"/>
  </si>
  <si>
    <t>Error</t>
    <phoneticPr fontId="1" type="noConversion"/>
  </si>
  <si>
    <t xml:space="preserve">The estimate of tau-equivalent reliability (i.e., coefficient alpha) is </t>
    <phoneticPr fontId="1" type="noConversion"/>
  </si>
  <si>
    <t>Fitted</t>
    <phoneticPr fontId="1" type="noConversion"/>
  </si>
  <si>
    <t>Transpose</t>
    <phoneticPr fontId="1" type="noConversion"/>
  </si>
  <si>
    <t>Inverse of Fitted</t>
    <phoneticPr fontId="1" type="noConversion"/>
  </si>
  <si>
    <t>Original multiplied by Inverse of fitted</t>
    <phoneticPr fontId="1" type="noConversion"/>
  </si>
  <si>
    <t>Discrepancy</t>
    <phoneticPr fontId="1" type="noConversion"/>
  </si>
  <si>
    <t>CongenericLambda(k=3)</t>
    <phoneticPr fontId="1" type="noConversion"/>
  </si>
  <si>
    <t>Tau-Eq Lambda</t>
    <phoneticPr fontId="1" type="noConversion"/>
  </si>
  <si>
    <t>Equal ErrorValue</t>
    <phoneticPr fontId="1" type="noConversion"/>
  </si>
  <si>
    <t>Parallel Lambda</t>
    <phoneticPr fontId="1" type="noConversion"/>
  </si>
  <si>
    <t>Equal Lambda</t>
    <phoneticPr fontId="1" type="noConversion"/>
  </si>
  <si>
    <t>Lambda</t>
    <phoneticPr fontId="1" type="noConversion"/>
  </si>
  <si>
    <t>Error</t>
    <phoneticPr fontId="1" type="noConversion"/>
  </si>
  <si>
    <t>CFI</t>
    <phoneticPr fontId="1" type="noConversion"/>
  </si>
  <si>
    <t>TLI</t>
    <phoneticPr fontId="1" type="noConversion"/>
  </si>
  <si>
    <t>RMSEA</t>
    <phoneticPr fontId="1" type="noConversion"/>
  </si>
  <si>
    <t>df</t>
    <phoneticPr fontId="1" type="noConversion"/>
  </si>
  <si>
    <t>Chi-square</t>
    <phoneticPr fontId="1" type="noConversion"/>
  </si>
  <si>
    <t>p</t>
    <phoneticPr fontId="1" type="noConversion"/>
  </si>
  <si>
    <t>Parameter estimates of the measurement models</t>
    <phoneticPr fontId="1" type="noConversion"/>
  </si>
  <si>
    <t>Equal LambdarValue</t>
    <phoneticPr fontId="1" type="noConversion"/>
  </si>
  <si>
    <t>Null Model</t>
    <phoneticPr fontId="1" type="noConversion"/>
  </si>
  <si>
    <t>a.Parallel</t>
    <phoneticPr fontId="1" type="noConversion"/>
  </si>
  <si>
    <t>b.Tau-equivalent</t>
    <phoneticPr fontId="1" type="noConversion"/>
  </si>
  <si>
    <t>c.Congeneric</t>
    <phoneticPr fontId="1" type="noConversion"/>
  </si>
  <si>
    <t>The estimate of congeneric reliability (i.e., composite reliabilty) is</t>
    <phoneticPr fontId="1" type="noConversion"/>
  </si>
  <si>
    <t>Difference(b-c)</t>
    <phoneticPr fontId="1" type="noConversion"/>
  </si>
  <si>
    <t>Difference(a-b)</t>
    <phoneticPr fontId="1" type="noConversion"/>
  </si>
  <si>
    <t>Difference(a-c)</t>
    <phoneticPr fontId="1" type="noConversion"/>
  </si>
  <si>
    <t>k=4</t>
    <phoneticPr fontId="1" type="noConversion"/>
  </si>
  <si>
    <t>congeneric lambda</t>
    <phoneticPr fontId="1" type="noConversion"/>
  </si>
  <si>
    <t>congeneric error</t>
    <phoneticPr fontId="1" type="noConversion"/>
  </si>
  <si>
    <t>Tanspose</t>
    <phoneticPr fontId="1" type="noConversion"/>
  </si>
  <si>
    <t>Fitted</t>
    <phoneticPr fontId="1" type="noConversion"/>
  </si>
  <si>
    <t>Inverse of Fitted</t>
    <phoneticPr fontId="1" type="noConversion"/>
  </si>
  <si>
    <t>Original * Inverse</t>
    <phoneticPr fontId="1" type="noConversion"/>
  </si>
  <si>
    <t>Discrepancy</t>
    <phoneticPr fontId="1" type="noConversion"/>
  </si>
  <si>
    <t>tau-eq lambda</t>
    <phoneticPr fontId="1" type="noConversion"/>
  </si>
  <si>
    <t>tau-eq error</t>
    <phoneticPr fontId="1" type="noConversion"/>
  </si>
  <si>
    <t>Equal Lambda</t>
    <phoneticPr fontId="1" type="noConversion"/>
  </si>
  <si>
    <t>parallel lambda</t>
    <phoneticPr fontId="1" type="noConversion"/>
  </si>
  <si>
    <t>parallel error</t>
    <phoneticPr fontId="1" type="noConversion"/>
  </si>
  <si>
    <t>Equal Error</t>
    <phoneticPr fontId="1" type="noConversion"/>
  </si>
  <si>
    <t>Transpose</t>
    <phoneticPr fontId="1" type="noConversion"/>
  </si>
  <si>
    <t>Null Model</t>
    <phoneticPr fontId="1" type="noConversion"/>
  </si>
  <si>
    <t>k=5</t>
    <phoneticPr fontId="1" type="noConversion"/>
  </si>
  <si>
    <t>taueq lambda</t>
    <phoneticPr fontId="1" type="noConversion"/>
  </si>
  <si>
    <t>taueq error</t>
    <phoneticPr fontId="1" type="noConversion"/>
  </si>
  <si>
    <t>equal lambda</t>
    <phoneticPr fontId="1" type="noConversion"/>
  </si>
  <si>
    <t>Original*Inverse</t>
    <phoneticPr fontId="1" type="noConversion"/>
  </si>
  <si>
    <t>STEP 3. Click</t>
    <phoneticPr fontId="1" type="noConversion"/>
  </si>
  <si>
    <t>The parallel assumption  is</t>
    <phoneticPr fontId="1" type="noConversion"/>
  </si>
  <si>
    <t>The tau-equivalent assumption (α=.05) is</t>
    <phoneticPr fontId="1" type="noConversion"/>
  </si>
  <si>
    <t>Manifest variable</t>
    <phoneticPr fontId="1" type="noConversion"/>
  </si>
  <si>
    <t>k=6</t>
    <phoneticPr fontId="1" type="noConversion"/>
  </si>
  <si>
    <t>congeneric error</t>
    <phoneticPr fontId="1" type="noConversion"/>
  </si>
  <si>
    <t>Inverse of Fitted</t>
    <phoneticPr fontId="1" type="noConversion"/>
  </si>
  <si>
    <t xml:space="preserve">k=6 </t>
    <phoneticPr fontId="1" type="noConversion"/>
  </si>
  <si>
    <t>taueq lambda</t>
    <phoneticPr fontId="1" type="noConversion"/>
  </si>
  <si>
    <t>Equal Error</t>
    <phoneticPr fontId="1" type="noConversion"/>
  </si>
  <si>
    <t>Null model</t>
    <phoneticPr fontId="1" type="noConversion"/>
  </si>
  <si>
    <t>Discrepancy</t>
    <phoneticPr fontId="1" type="noConversion"/>
  </si>
  <si>
    <t>k=7</t>
    <phoneticPr fontId="1" type="noConversion"/>
  </si>
  <si>
    <t>equal error</t>
    <phoneticPr fontId="1" type="noConversion"/>
  </si>
  <si>
    <t>Fitted</t>
    <phoneticPr fontId="1" type="noConversion"/>
  </si>
  <si>
    <t>k=8</t>
    <phoneticPr fontId="1" type="noConversion"/>
  </si>
  <si>
    <t>fitted</t>
    <phoneticPr fontId="1" type="noConversion"/>
  </si>
  <si>
    <t>k=9</t>
    <phoneticPr fontId="1" type="noConversion"/>
  </si>
  <si>
    <t>k=10</t>
    <phoneticPr fontId="1" type="noConversion"/>
  </si>
  <si>
    <t>Reliability = % general factor + %  group factor</t>
    <phoneticPr fontId="1" type="noConversion"/>
  </si>
  <si>
    <t>Reliability of the model</t>
    <phoneticPr fontId="1" type="noConversion"/>
  </si>
  <si>
    <t>Reliability of sub-test constructs</t>
    <phoneticPr fontId="1" type="noConversion"/>
  </si>
  <si>
    <t>Reliability of sub-test constructs</t>
    <phoneticPr fontId="1" type="noConversion"/>
  </si>
  <si>
    <t>Group factor 1</t>
  </si>
  <si>
    <t>Group factor 2</t>
  </si>
  <si>
    <t>Group factor 3</t>
  </si>
  <si>
    <t>Group factor 4</t>
  </si>
  <si>
    <t>Group factor 5</t>
  </si>
  <si>
    <t>Group factor 6</t>
  </si>
  <si>
    <t>Group factor 7</t>
  </si>
  <si>
    <t>Group factor 8</t>
  </si>
  <si>
    <t>STEP 1. Enter the parameter estimates into the below boxes.</t>
    <phoneticPr fontId="1" type="noConversion"/>
  </si>
  <si>
    <t xml:space="preserve">STEP 2. Click </t>
    <phoneticPr fontId="1" type="noConversion"/>
  </si>
  <si>
    <t>Errors</t>
    <phoneticPr fontId="1" type="noConversion"/>
  </si>
  <si>
    <t xml:space="preserve">General Factor </t>
    <phoneticPr fontId="1" type="noConversion"/>
  </si>
  <si>
    <t>Group Factor 1</t>
    <phoneticPr fontId="1" type="noConversion"/>
  </si>
  <si>
    <t>Group Factor 2</t>
    <phoneticPr fontId="1" type="noConversion"/>
  </si>
  <si>
    <t>Group Factor 3</t>
  </si>
  <si>
    <t>Group Factor 4</t>
  </si>
  <si>
    <t>Group Factor 5</t>
  </si>
  <si>
    <t>Group Factor 6</t>
  </si>
  <si>
    <t>Group Factor 7</t>
  </si>
  <si>
    <t>Group Factor 8</t>
  </si>
  <si>
    <t>X1</t>
    <phoneticPr fontId="1" type="noConversion"/>
  </si>
  <si>
    <t>X2</t>
    <phoneticPr fontId="1" type="noConversion"/>
  </si>
  <si>
    <t>X3</t>
    <phoneticPr fontId="1" type="noConversion"/>
  </si>
  <si>
    <t>X4</t>
    <phoneticPr fontId="1" type="noConversion"/>
  </si>
  <si>
    <t>X5</t>
    <phoneticPr fontId="1" type="noConversion"/>
  </si>
  <si>
    <t>X6</t>
    <phoneticPr fontId="1" type="noConversion"/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</si>
  <si>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</si>
  <si>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</si>
  <si>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</si>
  <si>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</si>
  <si>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</si>
  <si>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</si>
  <si>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</si>
  <si>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</si>
  <si>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</si>
  <si>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</si>
  <si>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</si>
  <si>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</si>
  <si>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</si>
  <si>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</si>
  <si>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</si>
  <si>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</si>
  <si>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</si>
  <si>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</si>
  <si>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</si>
  <si>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</si>
  <si>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</si>
  <si>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</si>
  <si>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X29</t>
  </si>
  <si>
    <t>X30</t>
  </si>
  <si>
    <t>Reliability = % second-o factor + % disturbance</t>
    <phoneticPr fontId="1" type="noConversion"/>
  </si>
  <si>
    <t>First-o factor 1</t>
    <phoneticPr fontId="1" type="noConversion"/>
  </si>
  <si>
    <t>First-o factor 2</t>
  </si>
  <si>
    <t>First-o factor 3</t>
  </si>
  <si>
    <t>First-o factor 4</t>
  </si>
  <si>
    <t>First-o factor 5</t>
  </si>
  <si>
    <t>First-o factor 6</t>
  </si>
  <si>
    <t>First-o factor 7</t>
  </si>
  <si>
    <t>First-o factor 8</t>
  </si>
  <si>
    <t>Gamma</t>
    <phoneticPr fontId="1" type="noConversion"/>
  </si>
  <si>
    <t>Errors</t>
    <phoneticPr fontId="1" type="noConversion"/>
  </si>
  <si>
    <t>F-O Factor 1</t>
    <phoneticPr fontId="1" type="noConversion"/>
  </si>
  <si>
    <t>F-O Factor 2</t>
    <phoneticPr fontId="1" type="noConversion"/>
  </si>
  <si>
    <t>F-O Factor 3</t>
  </si>
  <si>
    <t>F-O Factor 4</t>
  </si>
  <si>
    <t>F-O Factor 5</t>
  </si>
  <si>
    <t>F-O Factor 6</t>
  </si>
  <si>
    <t>F-O Factor 7</t>
  </si>
  <si>
    <t>F-O Factor 8</t>
  </si>
  <si>
    <t>Gamma1</t>
    <phoneticPr fontId="1" type="noConversion"/>
  </si>
  <si>
    <t>Gamma2</t>
    <phoneticPr fontId="1" type="noConversion"/>
  </si>
  <si>
    <t>Gamma3</t>
  </si>
  <si>
    <t>Gamma4</t>
  </si>
  <si>
    <t>Gamma5</t>
  </si>
  <si>
    <t>Gamma6</t>
  </si>
  <si>
    <t>Gamma7</t>
  </si>
  <si>
    <t>Gamma8</t>
  </si>
  <si>
    <t xml:space="preserve"> </t>
    <phoneticPr fontId="1" type="noConversion"/>
  </si>
  <si>
    <t>Reliability of the model</t>
    <phoneticPr fontId="1" type="noConversion"/>
  </si>
  <si>
    <t>Reliability of sub-test constructs</t>
    <phoneticPr fontId="1" type="noConversion"/>
  </si>
  <si>
    <t>Factor 1</t>
  </si>
  <si>
    <t>Factor 2</t>
  </si>
  <si>
    <t>Factor 3</t>
  </si>
  <si>
    <t>Factor 4</t>
  </si>
  <si>
    <t>Factor 5</t>
  </si>
  <si>
    <t>Factor 6</t>
  </si>
  <si>
    <t>Factor 7</t>
  </si>
  <si>
    <t>Factor 8</t>
  </si>
  <si>
    <t>STEP 1. Enter the parameter estimates into the below boxes.</t>
    <phoneticPr fontId="1" type="noConversion"/>
  </si>
  <si>
    <t xml:space="preserve">STEP 2. Click </t>
    <phoneticPr fontId="1" type="noConversion"/>
  </si>
  <si>
    <t xml:space="preserve">PHI </t>
    <phoneticPr fontId="1" type="noConversion"/>
  </si>
  <si>
    <t>Factor 1</t>
    <phoneticPr fontId="1" type="noConversion"/>
  </si>
  <si>
    <t>Factor 2</t>
    <phoneticPr fontId="1" type="noConversion"/>
  </si>
  <si>
    <t>Error&amp;Lambda</t>
    <phoneticPr fontId="1" type="noConversion"/>
  </si>
  <si>
    <t>Error</t>
    <phoneticPr fontId="1" type="noConversion"/>
  </si>
  <si>
    <t>X1</t>
    <phoneticPr fontId="1" type="noConversion"/>
  </si>
  <si>
    <t>X2</t>
    <phoneticPr fontId="1" type="noConversion"/>
  </si>
  <si>
    <t>X3</t>
  </si>
  <si>
    <t>X4</t>
  </si>
  <si>
    <t>X5</t>
  </si>
  <si>
    <t>X6</t>
  </si>
  <si>
    <t>Multidimensional Tau-equivalent reliability</t>
    <phoneticPr fontId="1" type="noConversion"/>
  </si>
  <si>
    <t>Multidimensional parallel reliability</t>
    <phoneticPr fontId="1" type="noConversion"/>
  </si>
  <si>
    <t>Reliability = % general factor + % group factor</t>
    <phoneticPr fontId="1" type="noConversion"/>
  </si>
  <si>
    <t>Sub-test 1</t>
    <phoneticPr fontId="1" type="noConversion"/>
  </si>
  <si>
    <t>Sub-test 2</t>
    <phoneticPr fontId="1" type="noConversion"/>
  </si>
  <si>
    <t>Sub-test 3</t>
  </si>
  <si>
    <t>Sub-test 4</t>
  </si>
  <si>
    <t>Sub-test 5</t>
  </si>
  <si>
    <t>Sub-test 6</t>
  </si>
  <si>
    <t>Sub-test 7</t>
  </si>
  <si>
    <t>Sub-test 8</t>
  </si>
  <si>
    <t>STEP 1. Enter the observed covariance matrix into the below boxes.</t>
    <phoneticPr fontId="1" type="noConversion"/>
  </si>
  <si>
    <t>STEP 2. Enter the number of sub-tests into the right box. All sub-tests must have an equal number of variables.</t>
    <phoneticPr fontId="1" type="noConversion"/>
  </si>
  <si>
    <t xml:space="preserve">Sub-tests </t>
    <phoneticPr fontId="1" type="noConversion"/>
  </si>
  <si>
    <t xml:space="preserve">STEP 3. Click </t>
    <phoneticPr fontId="1" type="noConversion"/>
  </si>
  <si>
    <t>The variables of the same sub-test must be consecutively positioned. For example, X1 X2 X3 is ok but X1 X3 X4 is not allowed.</t>
    <phoneticPr fontId="1" type="noConversion"/>
  </si>
  <si>
    <t>X1</t>
    <phoneticPr fontId="1" type="noConversion"/>
  </si>
  <si>
    <t>X2</t>
    <phoneticPr fontId="1" type="noConversion"/>
  </si>
  <si>
    <t>X3</t>
    <phoneticPr fontId="1" type="noConversion"/>
  </si>
  <si>
    <t>X4</t>
    <phoneticPr fontId="1" type="noConversion"/>
  </si>
  <si>
    <t>X5</t>
    <phoneticPr fontId="1" type="noConversion"/>
  </si>
  <si>
    <t>X6</t>
    <phoneticPr fontId="1" type="noConversion"/>
  </si>
  <si>
    <t>X31</t>
  </si>
  <si>
    <t>X32</t>
  </si>
  <si>
    <t>Unidimensional measurement models</t>
    <phoneticPr fontId="1" type="noConversion"/>
  </si>
  <si>
    <t>Major multidimensional measurement models</t>
    <phoneticPr fontId="1" type="noConversion"/>
  </si>
  <si>
    <t>Suggested multidimensional measurement models</t>
    <phoneticPr fontId="1" type="noConversion"/>
  </si>
  <si>
    <t>Y1</t>
    <phoneticPr fontId="1" type="noConversion"/>
  </si>
  <si>
    <t>Y2</t>
    <phoneticPr fontId="1" type="noConversion"/>
  </si>
  <si>
    <t>Y3</t>
  </si>
  <si>
    <t>Y4</t>
  </si>
  <si>
    <t>Y5</t>
  </si>
  <si>
    <t>Y6</t>
  </si>
  <si>
    <t>Y7</t>
  </si>
  <si>
    <t>Y8</t>
  </si>
  <si>
    <t>Y9</t>
  </si>
  <si>
    <t>Y10</t>
  </si>
  <si>
    <t>Y11</t>
  </si>
  <si>
    <t>Y12</t>
  </si>
  <si>
    <t>Y13</t>
  </si>
  <si>
    <t>Y14</t>
  </si>
  <si>
    <t>Y15</t>
  </si>
  <si>
    <t>Y16</t>
  </si>
  <si>
    <t>Y17</t>
  </si>
  <si>
    <t>Y18</t>
  </si>
  <si>
    <t>Y19</t>
  </si>
  <si>
    <t>Y20</t>
  </si>
  <si>
    <t>Y21</t>
  </si>
  <si>
    <t>Y22</t>
  </si>
  <si>
    <t>Y23</t>
  </si>
  <si>
    <t>Y24</t>
  </si>
  <si>
    <t>Y25</t>
  </si>
  <si>
    <t>Y26</t>
  </si>
  <si>
    <t>Y27</t>
  </si>
  <si>
    <t>Y28</t>
  </si>
  <si>
    <t>Y29</t>
  </si>
  <si>
    <t>Y30</t>
  </si>
  <si>
    <t>STEP 2. Enter the sample size (e.g., 175) into the right box</t>
    <phoneticPr fontId="1" type="noConversion"/>
  </si>
  <si>
    <t>STEP 1. Paste the covariance matrix into the above box (a full matrix or a lower triangle matrix)</t>
    <phoneticPr fontId="1" type="noConversion"/>
  </si>
  <si>
    <t>For more information, Cho (2016), "Making reliability reliable: A systematic approach to reliability coefficients," Organizational Research Methods, 19(4), 651-682</t>
    <phoneticPr fontId="1" type="noConversion"/>
  </si>
  <si>
    <t>This sheet requires the Solver Add-in to be activated. For more information, visit http://relcalc.blogspot.kr/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</si>
</sst>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_ "/>
    <numFmt numFmtId="165" formatCode="0_ "/>
  </numFmts>
  <fonts count="17">
    <font>
      <sz val="11"/>
      <color theme="1"/>
      <name val="Calibri"/>
      <family val="2"/>
      <charset val="129"/>
      <scheme val="minor"/>
    </font>
    <font>
      <sz val="8"/>
      <name val="Calibri"/>
      <family val="2"/>
      <charset val="129"/>
      <scheme val="minor"/>
    </font>
    <font>
      <sz val="11"/>
      <color theme="1"/>
      <name val="Times New Roman"/>
      <family val="1"/>
    </font>
    <font>
      <sz val="11"/>
      <color theme="4" tint="-0.499984740745262"/>
      <name val="Times New Roman"/>
      <family val="1"/>
    </font>
    <font>
      <sz val="11"/>
      <color theme="0" tint="-0.34998626667073579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sz val="10"/>
      <color theme="0" tint="-0.34998626667073579"/>
      <name val="Times New Roman"/>
      <family val="1"/>
    </font>
    <font>
      <u/>
      <sz val="11"/>
      <color theme="1"/>
      <name val="Times New Roman"/>
      <family val="1"/>
    </font>
    <font>
      <b/>
      <sz val="11"/>
      <color theme="1"/>
      <name val="Times New Roman"/>
      <family val="1"/>
    </font>
    <font>
      <u/>
      <sz val="11"/>
      <color theme="1"/>
      <name val="Calibri"/>
      <family val="2"/>
      <charset val="129"/>
      <scheme val="minor"/>
    </font>
    <font>
      <sz val="11"/>
      <color theme="0" tint="-4.9989318521683403E-2"/>
      <name val="Times New Roman"/>
      <family val="1"/>
    </font>
    <font>
      <u/>
      <sz val="12"/>
      <color theme="1"/>
      <name val="Times New Roman"/>
      <family val="1"/>
    </font>
    <font>
      <sz val="12"/>
      <color theme="1"/>
      <name val="Times New Roman"/>
      <family val="1"/>
    </font>
    <font>
      <sz val="12"/>
      <name val="Times New Roman"/>
      <family val="1"/>
    </font>
    <font>
      <sz val="11"/>
      <name val="Calibri"/>
      <family val="2"/>
      <charset val="129"/>
      <scheme val="minor"/>
    </font>
    <font>
      <sz val="11"/>
      <color rgb="FF000000"/>
      <name val="맑은 고딕"/>
    </font>
  </fonts>
  <fills count="9">
    <fill>
      <patternFill patternType="none"/>
    </fill>
    <fill>
      <patternFill patternType="gray125"/>
    </fill>
    <fill>
      <patternFill patternType="solid">
        <fgColor rgb="FFFFF9FF"/>
        <bgColor indexed="64"/>
      </patternFill>
    </fill>
    <fill>
      <patternFill patternType="solid">
        <fgColor rgb="FFF9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4D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rgb="FFF0FFFF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2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2" xfId="0" applyFont="1" applyBorder="1">
      <alignment vertical="center"/>
    </xf>
    <xf numFmtId="0" fontId="2" fillId="0" borderId="1" xfId="0" applyFont="1" applyBorder="1">
      <alignment vertical="center"/>
    </xf>
    <xf numFmtId="164" fontId="2" fillId="0" borderId="0" xfId="0" applyNumberFormat="1" applyFont="1">
      <alignment vertical="center"/>
    </xf>
    <xf numFmtId="164" fontId="2" fillId="0" borderId="2" xfId="0" applyNumberFormat="1" applyFont="1" applyBorder="1">
      <alignment vertical="center"/>
    </xf>
    <xf numFmtId="164" fontId="2" fillId="0" borderId="1" xfId="0" applyNumberFormat="1" applyFont="1" applyBorder="1">
      <alignment vertical="center"/>
    </xf>
    <xf numFmtId="165" fontId="2" fillId="0" borderId="2" xfId="0" applyNumberFormat="1" applyFont="1" applyBorder="1">
      <alignment vertical="center"/>
    </xf>
    <xf numFmtId="165" fontId="2" fillId="0" borderId="0" xfId="0" applyNumberFormat="1" applyFont="1">
      <alignment vertical="center"/>
    </xf>
    <xf numFmtId="165" fontId="2" fillId="0" borderId="1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7" xfId="0" applyFont="1" applyBorder="1">
      <alignment vertical="center"/>
    </xf>
    <xf numFmtId="0" fontId="2" fillId="0" borderId="8" xfId="0" applyFont="1" applyBorder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0" xfId="0" applyFont="1" applyFill="1" applyBorder="1">
      <alignment vertical="center"/>
    </xf>
    <xf numFmtId="0" fontId="2" fillId="4" borderId="11" xfId="0" applyFont="1" applyFill="1" applyBorder="1">
      <alignment vertical="center"/>
    </xf>
    <xf numFmtId="0" fontId="2" fillId="4" borderId="12" xfId="0" applyFont="1" applyFill="1" applyBorder="1">
      <alignment vertical="center"/>
    </xf>
    <xf numFmtId="0" fontId="2" fillId="4" borderId="13" xfId="0" applyFont="1" applyFill="1" applyBorder="1">
      <alignment vertical="center"/>
    </xf>
    <xf numFmtId="0" fontId="2" fillId="4" borderId="14" xfId="0" applyFont="1" applyFill="1" applyBorder="1">
      <alignment vertical="center"/>
    </xf>
    <xf numFmtId="0" fontId="2" fillId="4" borderId="15" xfId="0" applyFont="1" applyFill="1" applyBorder="1">
      <alignment vertical="center"/>
    </xf>
    <xf numFmtId="0" fontId="2" fillId="4" borderId="16" xfId="0" applyFont="1" applyFill="1" applyBorder="1">
      <alignment vertical="center"/>
    </xf>
    <xf numFmtId="0" fontId="2" fillId="4" borderId="17" xfId="0" applyFont="1" applyFill="1" applyBorder="1">
      <alignment vertical="center"/>
    </xf>
    <xf numFmtId="0" fontId="2" fillId="4" borderId="18" xfId="0" applyFont="1" applyFill="1" applyBorder="1">
      <alignment vertical="center"/>
    </xf>
    <xf numFmtId="164" fontId="6" fillId="5" borderId="19" xfId="0" applyNumberFormat="1" applyFont="1" applyFill="1" applyBorder="1">
      <alignment vertical="center"/>
    </xf>
    <xf numFmtId="164" fontId="6" fillId="5" borderId="20" xfId="0" applyNumberFormat="1" applyFont="1" applyFill="1" applyBorder="1">
      <alignment vertical="center"/>
    </xf>
    <xf numFmtId="164" fontId="6" fillId="5" borderId="21" xfId="0" applyNumberFormat="1" applyFont="1" applyFill="1" applyBorder="1">
      <alignment vertical="center"/>
    </xf>
    <xf numFmtId="0" fontId="8" fillId="0" borderId="0" xfId="0" applyFont="1">
      <alignment vertical="center"/>
    </xf>
    <xf numFmtId="164" fontId="9" fillId="6" borderId="23" xfId="0" applyNumberFormat="1" applyFont="1" applyFill="1" applyBorder="1">
      <alignment vertical="center"/>
    </xf>
    <xf numFmtId="164" fontId="9" fillId="6" borderId="24" xfId="0" applyNumberFormat="1" applyFont="1" applyFill="1" applyBorder="1">
      <alignment vertical="center"/>
    </xf>
    <xf numFmtId="164" fontId="9" fillId="6" borderId="25" xfId="0" applyNumberFormat="1" applyFont="1" applyFill="1" applyBorder="1">
      <alignment vertical="center"/>
    </xf>
    <xf numFmtId="164" fontId="2" fillId="7" borderId="10" xfId="0" applyNumberFormat="1" applyFont="1" applyFill="1" applyBorder="1">
      <alignment vertical="center"/>
    </xf>
    <xf numFmtId="164" fontId="2" fillId="7" borderId="11" xfId="0" applyNumberFormat="1" applyFont="1" applyFill="1" applyBorder="1">
      <alignment vertical="center"/>
    </xf>
    <xf numFmtId="164" fontId="2" fillId="7" borderId="12" xfId="0" applyNumberFormat="1" applyFont="1" applyFill="1" applyBorder="1">
      <alignment vertical="center"/>
    </xf>
    <xf numFmtId="164" fontId="2" fillId="7" borderId="13" xfId="0" applyNumberFormat="1" applyFont="1" applyFill="1" applyBorder="1">
      <alignment vertical="center"/>
    </xf>
    <xf numFmtId="164" fontId="2" fillId="7" borderId="14" xfId="0" applyNumberFormat="1" applyFont="1" applyFill="1" applyBorder="1">
      <alignment vertical="center"/>
    </xf>
    <xf numFmtId="164" fontId="2" fillId="7" borderId="15" xfId="0" applyNumberFormat="1" applyFont="1" applyFill="1" applyBorder="1">
      <alignment vertical="center"/>
    </xf>
    <xf numFmtId="164" fontId="2" fillId="7" borderId="16" xfId="0" applyNumberFormat="1" applyFont="1" applyFill="1" applyBorder="1">
      <alignment vertical="center"/>
    </xf>
    <xf numFmtId="164" fontId="2" fillId="7" borderId="17" xfId="0" applyNumberFormat="1" applyFont="1" applyFill="1" applyBorder="1">
      <alignment vertical="center"/>
    </xf>
    <xf numFmtId="164" fontId="2" fillId="7" borderId="18" xfId="0" applyNumberFormat="1" applyFont="1" applyFill="1" applyBorder="1">
      <alignment vertical="center"/>
    </xf>
    <xf numFmtId="0" fontId="2" fillId="0" borderId="0" xfId="0" applyFont="1" applyAlignment="1">
      <alignment horizontal="center" vertical="center"/>
    </xf>
    <xf numFmtId="0" fontId="2" fillId="3" borderId="11" xfId="0" applyFont="1" applyFill="1" applyBorder="1">
      <alignment vertical="center"/>
    </xf>
    <xf numFmtId="0" fontId="2" fillId="2" borderId="11" xfId="0" applyFont="1" applyFill="1" applyBorder="1">
      <alignment vertical="center"/>
    </xf>
    <xf numFmtId="0" fontId="2" fillId="2" borderId="12" xfId="0" applyFont="1" applyFill="1" applyBorder="1">
      <alignment vertical="center"/>
    </xf>
    <xf numFmtId="0" fontId="2" fillId="3" borderId="14" xfId="0" applyFont="1" applyFill="1" applyBorder="1">
      <alignment vertical="center"/>
    </xf>
    <xf numFmtId="0" fontId="2" fillId="2" borderId="14" xfId="0" applyFont="1" applyFill="1" applyBorder="1">
      <alignment vertical="center"/>
    </xf>
    <xf numFmtId="0" fontId="2" fillId="2" borderId="15" xfId="0" applyFont="1" applyFill="1" applyBorder="1">
      <alignment vertical="center"/>
    </xf>
    <xf numFmtId="0" fontId="5" fillId="4" borderId="13" xfId="0" applyFont="1" applyFill="1" applyBorder="1">
      <alignment vertical="center"/>
    </xf>
    <xf numFmtId="0" fontId="5" fillId="2" borderId="14" xfId="0" applyFont="1" applyFill="1" applyBorder="1">
      <alignment vertical="center"/>
    </xf>
    <xf numFmtId="0" fontId="11" fillId="2" borderId="14" xfId="0" applyFont="1" applyFill="1" applyBorder="1">
      <alignment vertical="center"/>
    </xf>
    <xf numFmtId="0" fontId="5" fillId="4" borderId="16" xfId="0" applyFont="1" applyFill="1" applyBorder="1">
      <alignment vertical="center"/>
    </xf>
    <xf numFmtId="0" fontId="2" fillId="3" borderId="17" xfId="0" applyFont="1" applyFill="1" applyBorder="1">
      <alignment vertical="center"/>
    </xf>
    <xf numFmtId="0" fontId="5" fillId="2" borderId="17" xfId="0" applyFont="1" applyFill="1" applyBorder="1">
      <alignment vertical="center"/>
    </xf>
    <xf numFmtId="0" fontId="2" fillId="2" borderId="17" xfId="0" applyFont="1" applyFill="1" applyBorder="1">
      <alignment vertical="center"/>
    </xf>
    <xf numFmtId="0" fontId="11" fillId="2" borderId="17" xfId="0" applyFont="1" applyFill="1" applyBorder="1">
      <alignment vertical="center"/>
    </xf>
    <xf numFmtId="0" fontId="2" fillId="2" borderId="18" xfId="0" applyFont="1" applyFill="1" applyBorder="1">
      <alignment vertical="center"/>
    </xf>
    <xf numFmtId="164" fontId="9" fillId="6" borderId="26" xfId="0" applyNumberFormat="1" applyFont="1" applyFill="1" applyBorder="1">
      <alignment vertical="center"/>
    </xf>
    <xf numFmtId="164" fontId="9" fillId="6" borderId="27" xfId="0" applyNumberFormat="1" applyFont="1" applyFill="1" applyBorder="1">
      <alignment vertical="center"/>
    </xf>
    <xf numFmtId="164" fontId="9" fillId="6" borderId="28" xfId="0" applyNumberFormat="1" applyFont="1" applyFill="1" applyBorder="1">
      <alignment vertical="center"/>
    </xf>
    <xf numFmtId="164" fontId="2" fillId="7" borderId="16" xfId="0" applyNumberFormat="1" applyFont="1" applyFill="1" applyBorder="1" applyAlignment="1">
      <alignment horizontal="center" vertical="center"/>
    </xf>
    <xf numFmtId="164" fontId="2" fillId="7" borderId="17" xfId="0" applyNumberFormat="1" applyFont="1" applyFill="1" applyBorder="1" applyAlignment="1">
      <alignment horizontal="center" vertical="center"/>
    </xf>
    <xf numFmtId="164" fontId="2" fillId="7" borderId="18" xfId="0" applyNumberFormat="1" applyFont="1" applyFill="1" applyBorder="1" applyAlignment="1">
      <alignment horizontal="center" vertical="center"/>
    </xf>
    <xf numFmtId="0" fontId="5" fillId="4" borderId="19" xfId="0" applyFont="1" applyFill="1" applyBorder="1">
      <alignment vertical="center"/>
    </xf>
    <xf numFmtId="0" fontId="2" fillId="3" borderId="10" xfId="0" applyFont="1" applyFill="1" applyBorder="1">
      <alignment vertical="center"/>
    </xf>
    <xf numFmtId="0" fontId="5" fillId="2" borderId="11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5" fillId="4" borderId="20" xfId="0" applyFont="1" applyFill="1" applyBorder="1">
      <alignment vertical="center"/>
    </xf>
    <xf numFmtId="0" fontId="2" fillId="3" borderId="13" xfId="0" applyFont="1" applyFill="1" applyBorder="1">
      <alignment vertical="center"/>
    </xf>
    <xf numFmtId="0" fontId="5" fillId="2" borderId="15" xfId="0" applyFont="1" applyFill="1" applyBorder="1">
      <alignment vertical="center"/>
    </xf>
    <xf numFmtId="0" fontId="5" fillId="4" borderId="21" xfId="0" applyFont="1" applyFill="1" applyBorder="1">
      <alignment vertical="center"/>
    </xf>
    <xf numFmtId="0" fontId="2" fillId="3" borderId="16" xfId="0" applyFont="1" applyFill="1" applyBorder="1">
      <alignment vertical="center"/>
    </xf>
    <xf numFmtId="0" fontId="5" fillId="2" borderId="18" xfId="0" applyFont="1" applyFill="1" applyBorder="1">
      <alignment vertical="center"/>
    </xf>
    <xf numFmtId="164" fontId="2" fillId="6" borderId="27" xfId="0" applyNumberFormat="1" applyFont="1" applyFill="1" applyBorder="1">
      <alignment vertical="center"/>
    </xf>
    <xf numFmtId="0" fontId="2" fillId="3" borderId="29" xfId="0" applyFont="1" applyFill="1" applyBorder="1">
      <alignment vertical="center"/>
    </xf>
    <xf numFmtId="0" fontId="2" fillId="2" borderId="10" xfId="0" applyFont="1" applyFill="1" applyBorder="1">
      <alignment vertical="center"/>
    </xf>
    <xf numFmtId="0" fontId="2" fillId="3" borderId="30" xfId="0" applyFont="1" applyFill="1" applyBorder="1">
      <alignment vertical="center"/>
    </xf>
    <xf numFmtId="0" fontId="2" fillId="2" borderId="13" xfId="0" applyFont="1" applyFill="1" applyBorder="1">
      <alignment vertical="center"/>
    </xf>
    <xf numFmtId="0" fontId="2" fillId="2" borderId="16" xfId="0" applyFont="1" applyFill="1" applyBorder="1">
      <alignment vertical="center"/>
    </xf>
    <xf numFmtId="164" fontId="2" fillId="7" borderId="19" xfId="0" applyNumberFormat="1" applyFont="1" applyFill="1" applyBorder="1">
      <alignment vertical="center"/>
    </xf>
    <xf numFmtId="164" fontId="2" fillId="7" borderId="20" xfId="0" applyNumberFormat="1" applyFont="1" applyFill="1" applyBorder="1">
      <alignment vertical="center"/>
    </xf>
    <xf numFmtId="164" fontId="2" fillId="7" borderId="21" xfId="0" applyNumberFormat="1" applyFont="1" applyFill="1" applyBorder="1">
      <alignment vertical="center"/>
    </xf>
    <xf numFmtId="0" fontId="2" fillId="8" borderId="22" xfId="0" applyFont="1" applyFill="1" applyBorder="1">
      <alignment vertical="center"/>
    </xf>
    <xf numFmtId="164" fontId="2" fillId="4" borderId="10" xfId="0" applyNumberFormat="1" applyFont="1" applyFill="1" applyBorder="1">
      <alignment vertical="center"/>
    </xf>
    <xf numFmtId="164" fontId="2" fillId="4" borderId="11" xfId="0" applyNumberFormat="1" applyFont="1" applyFill="1" applyBorder="1">
      <alignment vertical="center"/>
    </xf>
    <xf numFmtId="164" fontId="5" fillId="4" borderId="11" xfId="0" applyNumberFormat="1" applyFont="1" applyFill="1" applyBorder="1">
      <alignment vertical="center"/>
    </xf>
    <xf numFmtId="164" fontId="5" fillId="4" borderId="12" xfId="0" applyNumberFormat="1" applyFont="1" applyFill="1" applyBorder="1">
      <alignment vertical="center"/>
    </xf>
    <xf numFmtId="164" fontId="2" fillId="4" borderId="13" xfId="0" applyNumberFormat="1" applyFont="1" applyFill="1" applyBorder="1">
      <alignment vertical="center"/>
    </xf>
    <xf numFmtId="164" fontId="2" fillId="4" borderId="14" xfId="0" applyNumberFormat="1" applyFont="1" applyFill="1" applyBorder="1">
      <alignment vertical="center"/>
    </xf>
    <xf numFmtId="164" fontId="5" fillId="4" borderId="14" xfId="0" applyNumberFormat="1" applyFont="1" applyFill="1" applyBorder="1">
      <alignment vertical="center"/>
    </xf>
    <xf numFmtId="164" fontId="5" fillId="4" borderId="15" xfId="0" applyNumberFormat="1" applyFont="1" applyFill="1" applyBorder="1">
      <alignment vertical="center"/>
    </xf>
    <xf numFmtId="164" fontId="5" fillId="4" borderId="13" xfId="0" applyNumberFormat="1" applyFont="1" applyFill="1" applyBorder="1">
      <alignment vertical="center"/>
    </xf>
    <xf numFmtId="164" fontId="2" fillId="4" borderId="15" xfId="0" applyNumberFormat="1" applyFont="1" applyFill="1" applyBorder="1">
      <alignment vertical="center"/>
    </xf>
    <xf numFmtId="164" fontId="2" fillId="4" borderId="16" xfId="0" applyNumberFormat="1" applyFont="1" applyFill="1" applyBorder="1">
      <alignment vertical="center"/>
    </xf>
    <xf numFmtId="164" fontId="2" fillId="4" borderId="17" xfId="0" applyNumberFormat="1" applyFont="1" applyFill="1" applyBorder="1">
      <alignment vertical="center"/>
    </xf>
    <xf numFmtId="164" fontId="2" fillId="4" borderId="18" xfId="0" applyNumberFormat="1" applyFont="1" applyFill="1" applyBorder="1">
      <alignment vertical="center"/>
    </xf>
    <xf numFmtId="0" fontId="13" fillId="0" borderId="0" xfId="0" applyFont="1">
      <alignment vertical="center"/>
    </xf>
    <xf numFmtId="4" fontId="2" fillId="4" borderId="10" xfId="0" applyNumberFormat="1" applyFont="1" applyFill="1" applyBorder="1" applyAlignment="1"/>
    <xf numFmtId="4" fontId="2" fillId="4" borderId="11" xfId="0" applyNumberFormat="1" applyFont="1" applyFill="1" applyBorder="1" applyAlignment="1"/>
    <xf numFmtId="4" fontId="2" fillId="4" borderId="13" xfId="0" applyNumberFormat="1" applyFont="1" applyFill="1" applyBorder="1" applyAlignment="1"/>
    <xf numFmtId="4" fontId="2" fillId="4" borderId="14" xfId="0" applyNumberFormat="1" applyFont="1" applyFill="1" applyBorder="1" applyAlignment="1"/>
    <xf numFmtId="0" fontId="2" fillId="3" borderId="31" xfId="0" applyFont="1" applyFill="1" applyBorder="1">
      <alignment vertical="center"/>
    </xf>
    <xf numFmtId="0" fontId="2" fillId="2" borderId="22" xfId="0" applyFont="1" applyFill="1" applyBorder="1">
      <alignment vertical="center"/>
    </xf>
    <xf numFmtId="0" fontId="7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4" fillId="0" borderId="0" xfId="0" applyFont="1" applyAlignment="1">
      <alignment vertical="center" wrapText="1"/>
    </xf>
    <xf numFmtId="0" fontId="15" fillId="0" borderId="0" xfId="0" applyFont="1" applyAlignment="1">
      <alignment vertical="center" wrapText="1"/>
    </xf>
    <xf numFmtId="0" fontId="0" fillId="0" borderId="0" xfId="0">
      <alignment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8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4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4D1"/>
      <color rgb="FFF2F2F2"/>
      <color rgb="FFF9FFFF"/>
      <color rgb="FFFFF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228599</xdr:colOff>
      <xdr:row>1</xdr:row>
      <xdr:rowOff>104775</xdr:rowOff>
    </xdr:from>
    <xdr:to>
      <xdr:col>7</xdr:col>
      <xdr:colOff>442086</xdr:colOff>
      <xdr:row>12</xdr:row>
      <xdr:rowOff>95250</xdr:rowOff>
    </xdr:to>
    <xdr:pic>
      <xdr:nvPicPr>
        <xdr:cNvPr id="148" name="그림 147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599" y="304800"/>
          <a:ext cx="5014087" cy="219075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</xdr:row>
      <xdr:rowOff>28575</xdr:rowOff>
    </xdr:from>
    <xdr:to>
      <xdr:col>8</xdr:col>
      <xdr:colOff>535305</xdr:colOff>
      <xdr:row>35</xdr:row>
      <xdr:rowOff>197739</xdr:rowOff>
    </xdr:to>
    <xdr:pic>
      <xdr:nvPicPr>
        <xdr:cNvPr id="149" name="그림 148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38475"/>
          <a:ext cx="5974080" cy="4169664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15</xdr:row>
      <xdr:rowOff>28575</xdr:rowOff>
    </xdr:from>
    <xdr:to>
      <xdr:col>16</xdr:col>
      <xdr:colOff>352425</xdr:colOff>
      <xdr:row>38</xdr:row>
      <xdr:rowOff>106562</xdr:rowOff>
    </xdr:to>
    <xdr:pic>
      <xdr:nvPicPr>
        <xdr:cNvPr id="150" name="그림 149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72200" y="3048000"/>
          <a:ext cx="5153025" cy="46785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28575</xdr:rowOff>
        </xdr:from>
        <xdr:to>
          <xdr:col>1</xdr:col>
          <xdr:colOff>600075</xdr:colOff>
          <xdr:row>13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11</xdr:row>
          <xdr:rowOff>19050</xdr:rowOff>
        </xdr:from>
        <xdr:to>
          <xdr:col>2</xdr:col>
          <xdr:colOff>209550</xdr:colOff>
          <xdr:row>12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RUN!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247650</xdr:colOff>
          <xdr:row>11</xdr:row>
          <xdr:rowOff>19050</xdr:rowOff>
        </xdr:from>
        <xdr:to>
          <xdr:col>2</xdr:col>
          <xdr:colOff>161925</xdr:colOff>
          <xdr:row>11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RUN!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4</xdr:row>
          <xdr:rowOff>19050</xdr:rowOff>
        </xdr:from>
        <xdr:to>
          <xdr:col>2</xdr:col>
          <xdr:colOff>257175</xdr:colOff>
          <xdr:row>4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RUN!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13</xdr:row>
          <xdr:rowOff>19050</xdr:rowOff>
        </xdr:from>
        <xdr:to>
          <xdr:col>2</xdr:col>
          <xdr:colOff>76200</xdr:colOff>
          <xdr:row>14</xdr:row>
          <xdr:rowOff>9525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o\Documents\&#50672;&#44396;\Farewell\Excel%20Macro\160111Rel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dimensional"/>
      <sheetName val="Bi-factor"/>
      <sheetName val="Second-order Factor "/>
      <sheetName val="Correlated factors"/>
      <sheetName val="Multidimensional Tau-eq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Q15"/>
  <sheetViews>
    <sheetView workbookViewId="0">
      <selection activeCell="L11" sqref="L11"/>
    </sheetView>
  </sheetViews>
  <sheetFormatPr defaultColWidth="9" defaultRowHeight="15.75"/>
  <cols>
    <col min="1" max="16384" width="9" style="103"/>
  </cols>
  <sheetData>
    <row r="1" spans="1:17">
      <c r="A1" s="111" t="s">
        <v>203</v>
      </c>
      <c r="B1" s="112"/>
      <c r="C1" s="112"/>
      <c r="D1" s="112"/>
      <c r="E1" s="112"/>
      <c r="F1" s="112"/>
      <c r="G1" s="112"/>
      <c r="H1" s="112"/>
    </row>
    <row r="3" spans="1:17">
      <c r="J3" s="114" t="s">
        <v>238</v>
      </c>
      <c r="K3" s="115"/>
      <c r="L3" s="115"/>
      <c r="M3" s="115"/>
      <c r="N3" s="115"/>
      <c r="O3" s="115"/>
      <c r="P3" s="115"/>
      <c r="Q3" s="116"/>
    </row>
    <row r="4" spans="1:17">
      <c r="J4" s="115"/>
      <c r="K4" s="115"/>
      <c r="L4" s="115"/>
      <c r="M4" s="115"/>
      <c r="N4" s="115"/>
      <c r="O4" s="115"/>
      <c r="P4" s="115"/>
      <c r="Q4" s="116"/>
    </row>
    <row r="15" spans="1:17">
      <c r="A15" s="111" t="s">
        <v>204</v>
      </c>
      <c r="B15" s="113"/>
      <c r="C15" s="113"/>
      <c r="D15" s="113"/>
      <c r="E15" s="113"/>
      <c r="F15" s="113"/>
      <c r="G15" s="113"/>
      <c r="H15" s="113"/>
      <c r="J15" s="111" t="s">
        <v>205</v>
      </c>
      <c r="K15" s="113"/>
      <c r="L15" s="113"/>
      <c r="M15" s="113"/>
      <c r="N15" s="113"/>
      <c r="O15" s="113"/>
      <c r="P15" s="113"/>
    </row>
  </sheetData>
  <mergeCells count="4">
    <mergeCell ref="A1:H1"/>
    <mergeCell ref="A15:H15"/>
    <mergeCell ref="J15:P15"/>
    <mergeCell ref="J3:Q4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K1087"/>
  <sheetViews>
    <sheetView zoomScaleNormal="100" workbookViewId="0">
      <selection activeCell="B31" sqref="B31"/>
    </sheetView>
  </sheetViews>
  <sheetFormatPr defaultColWidth="0" defaultRowHeight="16.5" customHeight="1" zeroHeight="1"/>
  <cols>
    <col min="1" max="10" width="12.140625" style="1" customWidth="1"/>
    <col min="11" max="11" width="9" style="1" hidden="1" customWidth="1"/>
    <col min="12" max="16384" width="0" style="1" hidden="1"/>
  </cols>
  <sheetData>
    <row r="1" spans="1:10" ht="16.5" customHeight="1">
      <c r="A1" s="104"/>
      <c r="B1" s="105"/>
      <c r="C1" s="105"/>
      <c r="D1" s="105"/>
      <c r="E1" s="105"/>
      <c r="F1" s="105"/>
      <c r="G1" s="105"/>
      <c r="H1" s="105"/>
      <c r="I1" s="105"/>
      <c r="J1" s="25"/>
    </row>
    <row r="2" spans="1:10" ht="16.5" customHeight="1">
      <c r="A2" s="106"/>
      <c r="B2" s="107"/>
      <c r="C2" s="107"/>
      <c r="D2" s="107"/>
      <c r="E2" s="107"/>
      <c r="F2" s="107"/>
      <c r="G2" s="107"/>
      <c r="H2" s="107"/>
      <c r="I2" s="107"/>
      <c r="J2" s="28"/>
    </row>
    <row r="3" spans="1:10" ht="16.5" customHeight="1">
      <c r="A3" s="106"/>
      <c r="B3" s="107"/>
      <c r="C3" s="107"/>
      <c r="D3" s="107"/>
      <c r="E3" s="107"/>
      <c r="F3" s="107"/>
      <c r="G3" s="107"/>
      <c r="H3" s="107"/>
      <c r="I3" s="107"/>
      <c r="J3" s="28"/>
    </row>
    <row r="4" spans="1:10" ht="16.5" customHeight="1">
      <c r="A4" s="106"/>
      <c r="B4" s="107"/>
      <c r="C4" s="107"/>
      <c r="D4" s="107"/>
      <c r="E4" s="107"/>
      <c r="F4" s="107"/>
      <c r="G4" s="107"/>
      <c r="H4" s="107"/>
      <c r="I4" s="107"/>
      <c r="J4" s="28"/>
    </row>
    <row r="5" spans="1:10" ht="16.5" customHeight="1">
      <c r="A5" s="106"/>
      <c r="B5" s="107"/>
      <c r="C5" s="107"/>
      <c r="D5" s="107"/>
      <c r="E5" s="107"/>
      <c r="F5" s="107"/>
      <c r="G5" s="107"/>
      <c r="H5" s="107"/>
      <c r="I5" s="107"/>
      <c r="J5" s="28"/>
    </row>
    <row r="6" spans="1:10" ht="16.5" customHeight="1">
      <c r="A6" s="106"/>
      <c r="B6" s="107"/>
      <c r="C6" s="107"/>
      <c r="D6" s="107"/>
      <c r="E6" s="107"/>
      <c r="F6" s="107"/>
      <c r="G6" s="107"/>
      <c r="H6" s="107"/>
      <c r="I6" s="107"/>
      <c r="J6" s="28"/>
    </row>
    <row r="7" spans="1:10" ht="16.5" customHeight="1">
      <c r="A7" s="106"/>
      <c r="B7" s="107"/>
      <c r="C7" s="107"/>
      <c r="D7" s="107"/>
      <c r="E7" s="107"/>
      <c r="F7" s="107"/>
      <c r="G7" s="107"/>
      <c r="H7" s="107"/>
      <c r="I7" s="107"/>
      <c r="J7" s="28"/>
    </row>
    <row r="8" spans="1:10" ht="16.5" customHeight="1">
      <c r="A8" s="106"/>
      <c r="B8" s="107"/>
      <c r="C8" s="107"/>
      <c r="D8" s="107"/>
      <c r="E8" s="107"/>
      <c r="F8" s="107"/>
      <c r="G8" s="107"/>
      <c r="H8" s="107"/>
      <c r="I8" s="107"/>
      <c r="J8" s="28"/>
    </row>
    <row r="9" spans="1:10" ht="16.5" customHeight="1">
      <c r="A9" s="106"/>
      <c r="B9" s="107"/>
      <c r="C9" s="107"/>
      <c r="D9" s="107"/>
      <c r="E9" s="107"/>
      <c r="F9" s="107"/>
      <c r="G9" s="107"/>
      <c r="H9" s="107"/>
      <c r="I9" s="107"/>
      <c r="J9" s="28"/>
    </row>
    <row r="10" spans="1:10" ht="16.5" customHeight="1">
      <c r="A10" s="29"/>
      <c r="B10" s="30"/>
      <c r="C10" s="30"/>
      <c r="D10" s="30"/>
      <c r="E10" s="30"/>
      <c r="F10" s="30"/>
      <c r="G10" s="30"/>
      <c r="H10" s="30"/>
      <c r="I10" s="30"/>
      <c r="J10" s="31"/>
    </row>
    <row r="11" spans="1:10" ht="16.5" customHeight="1">
      <c r="A11" s="16" t="s">
        <v>237</v>
      </c>
    </row>
    <row r="12" spans="1:10" ht="16.5" customHeight="1">
      <c r="A12" s="16" t="s">
        <v>236</v>
      </c>
      <c r="E12" s="109">
        <v>150</v>
      </c>
    </row>
    <row r="13" spans="1:10" ht="16.5" customHeight="1">
      <c r="A13" s="16" t="s">
        <v>55</v>
      </c>
    </row>
    <row r="14" spans="1:10" s="17" customFormat="1" ht="16.5" customHeight="1">
      <c r="A14" s="1" t="s">
        <v>56</v>
      </c>
      <c r="C14" s="19"/>
      <c r="D14" s="1" t="s">
        <v>57</v>
      </c>
      <c r="F14" s="18"/>
      <c r="G14" s="19"/>
    </row>
    <row r="15" spans="1:10" ht="16.5" customHeight="1">
      <c r="A15" s="1" t="s">
        <v>0</v>
      </c>
      <c r="F15" s="32"/>
    </row>
    <row r="16" spans="1:10" ht="16.5" customHeight="1">
      <c r="A16" s="1" t="s">
        <v>5</v>
      </c>
      <c r="F16" s="33"/>
    </row>
    <row r="17" spans="1:7" ht="16.5" customHeight="1">
      <c r="A17" s="1" t="s">
        <v>30</v>
      </c>
      <c r="F17" s="34"/>
    </row>
    <row r="18" spans="1:7" ht="16.5" customHeight="1">
      <c r="A18" s="20"/>
      <c r="B18" s="20" t="s">
        <v>18</v>
      </c>
      <c r="C18" s="20" t="s">
        <v>19</v>
      </c>
      <c r="D18" s="20" t="s">
        <v>20</v>
      </c>
      <c r="E18" s="20" t="s">
        <v>21</v>
      </c>
      <c r="F18" s="20" t="s">
        <v>22</v>
      </c>
      <c r="G18" s="21" t="s">
        <v>23</v>
      </c>
    </row>
    <row r="19" spans="1:7" ht="16.5" customHeight="1">
      <c r="A19" s="2" t="s">
        <v>27</v>
      </c>
      <c r="B19" s="5"/>
      <c r="C19" s="5"/>
      <c r="D19" s="5"/>
      <c r="E19" s="7"/>
      <c r="F19" s="5"/>
      <c r="G19" s="4"/>
    </row>
    <row r="20" spans="1:7" ht="16.5" customHeight="1">
      <c r="A20" s="1" t="s">
        <v>28</v>
      </c>
      <c r="B20" s="4"/>
      <c r="C20" s="4"/>
      <c r="D20" s="4"/>
      <c r="E20" s="8"/>
      <c r="F20" s="4"/>
      <c r="G20" s="4"/>
    </row>
    <row r="21" spans="1:7" ht="16.5" customHeight="1">
      <c r="A21" s="1" t="s">
        <v>29</v>
      </c>
      <c r="B21" s="4"/>
      <c r="C21" s="4"/>
      <c r="D21" s="4"/>
      <c r="E21" s="8"/>
      <c r="F21" s="4"/>
      <c r="G21" s="4"/>
    </row>
    <row r="22" spans="1:7" ht="16.5" customHeight="1">
      <c r="A22" s="1" t="s">
        <v>32</v>
      </c>
      <c r="B22" s="4"/>
      <c r="C22" s="4"/>
      <c r="D22" s="4"/>
      <c r="E22" s="8"/>
      <c r="F22" s="4"/>
      <c r="G22" s="4"/>
    </row>
    <row r="23" spans="1:7" ht="16.5" customHeight="1">
      <c r="A23" s="1" t="s">
        <v>33</v>
      </c>
      <c r="B23" s="4"/>
      <c r="C23" s="4"/>
      <c r="D23" s="4"/>
      <c r="E23" s="8"/>
      <c r="F23" s="4"/>
      <c r="G23" s="4"/>
    </row>
    <row r="24" spans="1:7" ht="16.5" customHeight="1">
      <c r="A24" s="3" t="s">
        <v>31</v>
      </c>
      <c r="B24" s="6"/>
      <c r="C24" s="6"/>
      <c r="D24" s="6"/>
      <c r="E24" s="9"/>
      <c r="F24" s="6"/>
      <c r="G24" s="6"/>
    </row>
    <row r="25" spans="1:7" ht="16.5" customHeight="1">
      <c r="A25" s="110" t="s">
        <v>239</v>
      </c>
    </row>
    <row r="26" spans="1:7" ht="16.5" customHeight="1">
      <c r="A26" s="1" t="s">
        <v>24</v>
      </c>
    </row>
    <row r="27" spans="1:7" ht="16.5" customHeight="1">
      <c r="A27" s="118" t="s">
        <v>58</v>
      </c>
      <c r="B27" s="117" t="s">
        <v>3</v>
      </c>
      <c r="C27" s="117"/>
      <c r="D27" s="117" t="s">
        <v>1</v>
      </c>
      <c r="E27" s="117"/>
      <c r="F27" s="117" t="s">
        <v>2</v>
      </c>
      <c r="G27" s="117"/>
    </row>
    <row r="28" spans="1:7" ht="16.5" customHeight="1">
      <c r="A28" s="119"/>
      <c r="B28" s="22" t="s">
        <v>16</v>
      </c>
      <c r="C28" s="22" t="s">
        <v>17</v>
      </c>
      <c r="D28" s="22" t="s">
        <v>16</v>
      </c>
      <c r="E28" s="22" t="s">
        <v>17</v>
      </c>
      <c r="F28" s="22" t="s">
        <v>16</v>
      </c>
      <c r="G28" s="22" t="s">
        <v>17</v>
      </c>
    </row>
    <row r="29" spans="1:7" ht="16.5" customHeight="1">
      <c r="B29" s="4"/>
      <c r="C29" s="4"/>
      <c r="D29" s="4"/>
      <c r="E29" s="4"/>
      <c r="F29" s="4"/>
      <c r="G29" s="4"/>
    </row>
    <row r="30" spans="1:7" ht="16.5" customHeight="1">
      <c r="B30" s="4"/>
      <c r="C30" s="4"/>
      <c r="D30" s="4"/>
      <c r="E30" s="4"/>
      <c r="F30" s="4"/>
      <c r="G30" s="4"/>
    </row>
    <row r="31" spans="1:7" ht="16.5" customHeight="1">
      <c r="B31" s="4"/>
      <c r="C31" s="4"/>
      <c r="D31" s="4"/>
      <c r="E31" s="4"/>
      <c r="F31" s="4"/>
      <c r="G31" s="4"/>
    </row>
    <row r="32" spans="1:7" ht="16.5" customHeight="1">
      <c r="B32" s="4"/>
      <c r="C32" s="4"/>
      <c r="D32" s="4"/>
      <c r="E32" s="4"/>
      <c r="F32" s="4"/>
      <c r="G32" s="4"/>
    </row>
    <row r="33" spans="2:7" ht="16.5" customHeight="1">
      <c r="B33" s="4"/>
      <c r="C33" s="4"/>
      <c r="D33" s="4"/>
      <c r="E33" s="4"/>
      <c r="F33" s="4"/>
      <c r="G33" s="4"/>
    </row>
    <row r="34" spans="2:7" ht="16.5" customHeight="1">
      <c r="B34" s="4"/>
      <c r="C34" s="4"/>
      <c r="D34" s="4"/>
      <c r="E34" s="4"/>
      <c r="F34" s="4"/>
      <c r="G34" s="4"/>
    </row>
    <row r="35" spans="2:7" ht="16.5" customHeight="1">
      <c r="B35" s="4"/>
      <c r="C35" s="4"/>
      <c r="D35" s="4"/>
      <c r="E35" s="4"/>
      <c r="F35" s="4"/>
      <c r="G35" s="4"/>
    </row>
    <row r="36" spans="2:7" ht="16.5" customHeight="1">
      <c r="B36" s="4"/>
      <c r="C36" s="4"/>
      <c r="D36" s="4"/>
      <c r="E36" s="4"/>
      <c r="F36" s="4"/>
      <c r="G36" s="4"/>
    </row>
    <row r="37" spans="2:7" ht="16.5" customHeight="1">
      <c r="B37" s="4"/>
      <c r="C37" s="4"/>
      <c r="D37" s="4"/>
      <c r="E37" s="4"/>
      <c r="F37" s="4"/>
      <c r="G37" s="4"/>
    </row>
    <row r="38" spans="2:7" ht="16.5" customHeight="1">
      <c r="B38" s="4"/>
      <c r="C38" s="4"/>
      <c r="D38" s="4"/>
      <c r="E38" s="4"/>
      <c r="F38" s="4"/>
      <c r="G38" s="4"/>
    </row>
    <row r="80" spans="1:3" ht="16.5" hidden="1" customHeight="1">
      <c r="A80" s="10">
        <v>10</v>
      </c>
      <c r="B80" s="2">
        <v>7</v>
      </c>
      <c r="C80" s="11">
        <v>6</v>
      </c>
    </row>
    <row r="81" spans="1:3" ht="16.5" hidden="1" customHeight="1">
      <c r="A81" s="12">
        <v>7</v>
      </c>
      <c r="B81" s="1">
        <v>11</v>
      </c>
      <c r="C81" s="13">
        <v>5</v>
      </c>
    </row>
    <row r="82" spans="1:3" ht="16.5" hidden="1" customHeight="1">
      <c r="A82" s="14">
        <v>6</v>
      </c>
      <c r="B82" s="3">
        <v>5</v>
      </c>
      <c r="C82" s="15">
        <v>12</v>
      </c>
    </row>
    <row r="91" spans="1:3" ht="16.5" hidden="1" customHeight="1">
      <c r="A91" s="1" t="s">
        <v>11</v>
      </c>
      <c r="B91" s="1" t="s">
        <v>4</v>
      </c>
    </row>
    <row r="92" spans="1:3" ht="16.5" hidden="1" customHeight="1">
      <c r="A92" s="1">
        <v>2.8982704987469918</v>
      </c>
      <c r="B92" s="1">
        <v>1.6000010677093974</v>
      </c>
    </row>
    <row r="93" spans="1:3" ht="16.5" hidden="1" customHeight="1">
      <c r="A93" s="1">
        <v>2.4152249008855851</v>
      </c>
      <c r="B93" s="1">
        <v>5.1666618883173561</v>
      </c>
    </row>
    <row r="94" spans="1:3" ht="16.5" hidden="1" customHeight="1">
      <c r="A94" s="1">
        <v>2.0701925130827101</v>
      </c>
      <c r="B94" s="1">
        <v>7.7142731452992397</v>
      </c>
    </row>
    <row r="95" spans="1:3" ht="16.5" hidden="1" customHeight="1">
      <c r="A95" s="1" t="s">
        <v>7</v>
      </c>
    </row>
    <row r="96" spans="1:3" ht="16.5" hidden="1" customHeight="1">
      <c r="A96" s="1">
        <f t="array" ref="A96:C96">TRANSPOSE(A92:A94)</f>
        <v>2.8982704987469918</v>
      </c>
      <c r="B96" s="1">
        <v>2.4152249008855851</v>
      </c>
      <c r="C96" s="1">
        <v>2.0701925130827101</v>
      </c>
    </row>
    <row r="97" spans="1:3" ht="16.5" hidden="1" customHeight="1">
      <c r="A97" s="1" t="s">
        <v>6</v>
      </c>
    </row>
    <row r="98" spans="1:3" ht="16.5" hidden="1" customHeight="1">
      <c r="A98" s="1">
        <f>$A92*A$96+B92</f>
        <v>9.9999729516165345</v>
      </c>
      <c r="B98" s="1">
        <f>$A92*B$96</f>
        <v>6.9999750780758188</v>
      </c>
      <c r="C98" s="1">
        <f>$A92*C$96</f>
        <v>5.9999778873945147</v>
      </c>
    </row>
    <row r="99" spans="1:3" ht="16.5" hidden="1" customHeight="1">
      <c r="A99" s="1">
        <f>$A93*A$96</f>
        <v>6.9999750780758188</v>
      </c>
      <c r="B99" s="1">
        <f>$A93*B$96+B93</f>
        <v>10.99997321017514</v>
      </c>
      <c r="C99" s="1">
        <f>$A93*C$96</f>
        <v>4.9999805072242687</v>
      </c>
    </row>
    <row r="100" spans="1:3" ht="16.5" hidden="1" customHeight="1">
      <c r="A100" s="1">
        <f>$A94*A$96</f>
        <v>5.9999778873945147</v>
      </c>
      <c r="B100" s="1">
        <f>$A94*B$96</f>
        <v>4.9999805072242687</v>
      </c>
      <c r="C100" s="1">
        <f>$A94*C$96+B94</f>
        <v>11.999970186522948</v>
      </c>
    </row>
    <row r="101" spans="1:3" ht="16.5" hidden="1" customHeight="1">
      <c r="A101" s="1" t="s">
        <v>8</v>
      </c>
    </row>
    <row r="102" spans="1:3" ht="16.5" hidden="1" customHeight="1">
      <c r="A102" s="1">
        <f t="array" ref="A102:C104">MINVERSE(A98:C100)</f>
        <v>0.21146263422304709</v>
      </c>
      <c r="B102" s="1">
        <v>-0.10671935973860293</v>
      </c>
      <c r="C102" s="1">
        <v>-6.1264853119191706E-2</v>
      </c>
    </row>
    <row r="103" spans="1:3" ht="16.5" hidden="1" customHeight="1">
      <c r="A103" s="1">
        <v>-0.10671935973860294</v>
      </c>
      <c r="B103" s="1">
        <v>0.16600804818662307</v>
      </c>
      <c r="C103" s="1">
        <v>-1.5810306478929479E-2</v>
      </c>
    </row>
    <row r="104" spans="1:3" ht="16.5" hidden="1" customHeight="1">
      <c r="A104" s="1">
        <v>-6.1264853119191706E-2</v>
      </c>
      <c r="B104" s="1">
        <v>-1.5810306478929483E-2</v>
      </c>
      <c r="C104" s="1">
        <v>0.12055354852649706</v>
      </c>
    </row>
    <row r="105" spans="1:3" ht="16.5" hidden="1" customHeight="1">
      <c r="A105" s="1" t="s">
        <v>9</v>
      </c>
    </row>
    <row r="106" spans="1:3" ht="16.5" hidden="1" customHeight="1">
      <c r="A106" s="1">
        <f t="array" ref="A106:C108">MMULT(A80:C82,A102:C104)</f>
        <v>1.0000017053451002</v>
      </c>
      <c r="B106" s="1">
        <v>9.0104675522229005E-7</v>
      </c>
      <c r="C106" s="1">
        <v>6.1461455891365091E-7</v>
      </c>
    </row>
    <row r="107" spans="1:3" ht="16.5" hidden="1" customHeight="1">
      <c r="A107" s="1">
        <v>1.2168407388934988E-6</v>
      </c>
      <c r="B107" s="1">
        <v>1.0000014794879857</v>
      </c>
      <c r="C107" s="1">
        <v>3.995299191483781E-7</v>
      </c>
    </row>
    <row r="108" spans="1:3" ht="16.5" hidden="1" customHeight="1">
      <c r="A108" s="1">
        <v>7.6921496738879824E-7</v>
      </c>
      <c r="B108" s="1">
        <v>4.0475434395781384E-7</v>
      </c>
      <c r="C108" s="1">
        <v>1.0000019312081672</v>
      </c>
    </row>
    <row r="109" spans="1:3" ht="16.5" hidden="1" customHeight="1">
      <c r="A109" s="1" t="s">
        <v>10</v>
      </c>
    </row>
    <row r="110" spans="1:3" ht="16.5" hidden="1" customHeight="1">
      <c r="A110" s="1">
        <f>LN(MDETERM(A98:C100))+SUM(A106,B107,C108)-LN(MDETERM(A80:C82))-3</f>
        <v>6.1444183074854664E-12</v>
      </c>
    </row>
    <row r="111" spans="1:3" ht="16.5" hidden="1" customHeight="1">
      <c r="A111" s="1">
        <f>MIN($A$110)</f>
        <v>6.1444183074854664E-12</v>
      </c>
    </row>
    <row r="112" spans="1:3" ht="16.5" hidden="1" customHeight="1">
      <c r="A112" s="1">
        <f>COUNT($A$92,$A$93,$A$94,$B$92,$B$93,$B$94)</f>
        <v>6</v>
      </c>
    </row>
    <row r="113" spans="1:4" ht="16.5" hidden="1" customHeight="1">
      <c r="A113" s="1">
        <f>{32767,32767,0.000001,0.01,FALSE,FALSE,TRUE,1,1,1,0.0001,TRUE}</f>
        <v>32767</v>
      </c>
    </row>
    <row r="114" spans="1:4" ht="16.5" hidden="1" customHeight="1">
      <c r="A114" s="1">
        <f>{0,0,1,100,0,FALSE,TRUE,0.075,0,0,FALSE,30}</f>
        <v>0</v>
      </c>
    </row>
    <row r="115" spans="1:4" ht="16.5" hidden="1" customHeight="1">
      <c r="A115" s="1" t="s">
        <v>12</v>
      </c>
      <c r="B115" s="1" t="s">
        <v>4</v>
      </c>
      <c r="C115" s="1" t="s">
        <v>25</v>
      </c>
      <c r="D115" s="1">
        <v>2.5404116150362799</v>
      </c>
    </row>
    <row r="116" spans="1:4" ht="16.5" hidden="1" customHeight="1">
      <c r="A116" s="1">
        <f>$D$115</f>
        <v>2.5404116150362799</v>
      </c>
      <c r="B116" s="1">
        <v>2.8621545994551738</v>
      </c>
    </row>
    <row r="117" spans="1:4" ht="16.5" hidden="1" customHeight="1">
      <c r="A117" s="1">
        <f t="shared" ref="A117:A118" si="0">$D$115</f>
        <v>2.5404116150362799</v>
      </c>
      <c r="B117" s="1">
        <v>4.601241513339061</v>
      </c>
    </row>
    <row r="118" spans="1:4" ht="16.5" hidden="1" customHeight="1">
      <c r="A118" s="1">
        <f t="shared" si="0"/>
        <v>2.5404116150362799</v>
      </c>
      <c r="B118" s="1">
        <v>7.1758465180826816</v>
      </c>
    </row>
    <row r="119" spans="1:4" ht="16.5" hidden="1" customHeight="1">
      <c r="A119" s="1" t="s">
        <v>7</v>
      </c>
    </row>
    <row r="120" spans="1:4" ht="16.5" hidden="1" customHeight="1">
      <c r="A120" s="1">
        <f t="array" ref="A120:C120">TRANSPOSE(A116:A118)</f>
        <v>2.5404116150362799</v>
      </c>
      <c r="B120" s="1">
        <v>2.5404116150362799</v>
      </c>
      <c r="C120" s="1">
        <v>2.5404116150362799</v>
      </c>
    </row>
    <row r="121" spans="1:4" ht="16.5" hidden="1" customHeight="1">
      <c r="A121" s="1" t="s">
        <v>6</v>
      </c>
    </row>
    <row r="122" spans="1:4" ht="16.5" hidden="1" customHeight="1">
      <c r="A122" s="1">
        <f>A$120*$A116+B116</f>
        <v>9.3158457732664139</v>
      </c>
      <c r="B122" s="1">
        <f t="shared" ref="B122:C122" si="1">B$120*$A116</f>
        <v>6.4536911738112401</v>
      </c>
      <c r="C122" s="1">
        <f t="shared" si="1"/>
        <v>6.4536911738112401</v>
      </c>
    </row>
    <row r="123" spans="1:4" ht="16.5" hidden="1" customHeight="1">
      <c r="A123" s="1">
        <f t="shared" ref="A123:A124" si="2">A$120*$A117</f>
        <v>6.4536911738112401</v>
      </c>
      <c r="B123" s="1">
        <f>B$120*$A117+B117</f>
        <v>11.054932687150302</v>
      </c>
      <c r="C123" s="1">
        <f>C$120*$A117</f>
        <v>6.4536911738112401</v>
      </c>
    </row>
    <row r="124" spans="1:4" ht="16.5" hidden="1" customHeight="1">
      <c r="A124" s="1">
        <f t="shared" si="2"/>
        <v>6.4536911738112401</v>
      </c>
      <c r="B124" s="1">
        <f>B$120*$A118</f>
        <v>6.4536911738112401</v>
      </c>
      <c r="C124" s="1">
        <f>C$120*$A118+B118</f>
        <v>13.629537691893923</v>
      </c>
    </row>
    <row r="125" spans="1:4" ht="16.5" hidden="1" customHeight="1">
      <c r="A125" s="1" t="s">
        <v>8</v>
      </c>
    </row>
    <row r="126" spans="1:4" ht="16.5" hidden="1" customHeight="1">
      <c r="A126" s="1">
        <f t="array" ref="A126:C128">MINVERSE(A122:C124)</f>
        <v>0.20761286300170656</v>
      </c>
      <c r="B126" s="1">
        <v>-8.8189217644248252E-2</v>
      </c>
      <c r="C126" s="1">
        <v>-5.654801677141072E-2</v>
      </c>
    </row>
    <row r="127" spans="1:4" ht="16.5" hidden="1" customHeight="1">
      <c r="A127" s="1">
        <v>-8.8189217644248266E-2</v>
      </c>
      <c r="B127" s="1">
        <v>0.16247545861913382</v>
      </c>
      <c r="C127" s="1">
        <v>-3.5175107810176569E-2</v>
      </c>
    </row>
    <row r="128" spans="1:4" ht="16.5" hidden="1" customHeight="1">
      <c r="A128" s="1">
        <v>-5.6548016771410727E-2</v>
      </c>
      <c r="B128" s="1">
        <v>-3.5175107810176569E-2</v>
      </c>
      <c r="C128" s="1">
        <v>0.11680166675744123</v>
      </c>
    </row>
    <row r="129" spans="1:4" ht="16.5" hidden="1" customHeight="1">
      <c r="A129" s="1" t="s">
        <v>9</v>
      </c>
    </row>
    <row r="130" spans="1:4" ht="16.5" hidden="1" customHeight="1">
      <c r="A130" s="1">
        <f t="array" ref="A130:C132">MMULT(A80:C82,A126:C128)</f>
        <v>1.1195160058788636</v>
      </c>
      <c r="B130" s="1">
        <v>4.4385387030394685E-2</v>
      </c>
      <c r="C130" s="1">
        <v>-0.11089592184069585</v>
      </c>
    </row>
    <row r="131" spans="1:4" ht="16.5" hidden="1" customHeight="1">
      <c r="A131" s="1">
        <v>0.2004685630681613</v>
      </c>
      <c r="B131" s="1">
        <v>0.99402998224985128</v>
      </c>
      <c r="C131" s="1">
        <v>-0.19875396952461111</v>
      </c>
    </row>
    <row r="132" spans="1:4" ht="16.5" hidden="1" customHeight="1">
      <c r="A132" s="1">
        <v>0.12615488853206935</v>
      </c>
      <c r="B132" s="1">
        <v>-0.13885930649193923</v>
      </c>
      <c r="C132" s="1">
        <v>0.88645636140994755</v>
      </c>
    </row>
    <row r="133" spans="1:4" ht="16.5" hidden="1" customHeight="1">
      <c r="A133" s="1" t="s">
        <v>10</v>
      </c>
    </row>
    <row r="134" spans="1:4" ht="16.5" hidden="1" customHeight="1">
      <c r="A134" s="1">
        <f>LN(MDETERM(A122:C124))+SUM(A130,B131,C132)-LN(MDETERM(A80:C82))-3</f>
        <v>3.710923105601438E-2</v>
      </c>
    </row>
    <row r="135" spans="1:4" ht="16.5" hidden="1" customHeight="1">
      <c r="A135" s="1">
        <f>MIN($A$134)</f>
        <v>3.710923105601438E-2</v>
      </c>
    </row>
    <row r="136" spans="1:4" ht="16.5" hidden="1" customHeight="1">
      <c r="A136" s="1">
        <f>COUNT($B$116,$B$117,$B$118,$D$115)</f>
        <v>4</v>
      </c>
    </row>
    <row r="137" spans="1:4" ht="16.5" hidden="1" customHeight="1">
      <c r="A137" s="1">
        <f>{32767,32767,0.000001,0.01,FALSE,FALSE,TRUE,1,1,1,0.0001,TRUE}</f>
        <v>32767</v>
      </c>
    </row>
    <row r="138" spans="1:4" ht="16.5" hidden="1" customHeight="1">
      <c r="A138" s="1">
        <f>{0,0,1,100,0,FALSE,TRUE,0.075,0,0,FALSE,30}</f>
        <v>0</v>
      </c>
    </row>
    <row r="139" spans="1:4" ht="16.5" hidden="1" customHeight="1">
      <c r="A139" s="1" t="s">
        <v>14</v>
      </c>
      <c r="B139" s="1" t="s">
        <v>4</v>
      </c>
      <c r="C139" s="1" t="s">
        <v>15</v>
      </c>
      <c r="D139" s="1">
        <v>2.4494876400678374</v>
      </c>
    </row>
    <row r="140" spans="1:4" ht="16.5" hidden="1" customHeight="1">
      <c r="A140" s="1">
        <f>$D$139</f>
        <v>2.4494876400678374</v>
      </c>
      <c r="B140" s="1">
        <f>$D$140</f>
        <v>4.9999989134592528</v>
      </c>
      <c r="C140" s="1" t="s">
        <v>13</v>
      </c>
      <c r="D140" s="1">
        <v>4.9999989134592528</v>
      </c>
    </row>
    <row r="141" spans="1:4" ht="16.5" hidden="1" customHeight="1">
      <c r="A141" s="1">
        <f t="shared" ref="A141:A142" si="3">$D$139</f>
        <v>2.4494876400678374</v>
      </c>
      <c r="B141" s="1">
        <f>$D$140</f>
        <v>4.9999989134592528</v>
      </c>
    </row>
    <row r="142" spans="1:4" ht="16.5" hidden="1" customHeight="1">
      <c r="A142" s="1">
        <f t="shared" si="3"/>
        <v>2.4494876400678374</v>
      </c>
      <c r="B142" s="1">
        <f t="shared" ref="B142" si="4">$D$140</f>
        <v>4.9999989134592528</v>
      </c>
    </row>
    <row r="143" spans="1:4" ht="16.5" hidden="1" customHeight="1">
      <c r="A143" s="1" t="s">
        <v>7</v>
      </c>
    </row>
    <row r="144" spans="1:4" ht="16.5" hidden="1" customHeight="1">
      <c r="A144" s="1">
        <f t="array" ref="A144:C144">TRANSPOSE(A140:A142)</f>
        <v>2.4494876400678374</v>
      </c>
      <c r="B144" s="1">
        <v>2.4494876400678374</v>
      </c>
      <c r="C144" s="1">
        <v>2.4494876400678374</v>
      </c>
    </row>
    <row r="145" spans="1:3" ht="16.5" hidden="1" customHeight="1">
      <c r="A145" s="1" t="s">
        <v>6</v>
      </c>
    </row>
    <row r="146" spans="1:3" ht="16.5" hidden="1" customHeight="1">
      <c r="A146" s="1">
        <f>$A140*A$144+B140</f>
        <v>10.999988612304357</v>
      </c>
      <c r="B146" s="1">
        <f t="shared" ref="B146:C146" si="5">$A140*B$144</f>
        <v>5.9999896988451029</v>
      </c>
      <c r="C146" s="1">
        <f t="shared" si="5"/>
        <v>5.9999896988451029</v>
      </c>
    </row>
    <row r="147" spans="1:3" ht="16.5" hidden="1" customHeight="1">
      <c r="A147" s="1">
        <f t="shared" ref="A147:C148" si="6">$A141*A$144</f>
        <v>5.9999896988451029</v>
      </c>
      <c r="B147" s="1">
        <f>$A141*B$144+B141</f>
        <v>10.999988612304357</v>
      </c>
      <c r="C147" s="1">
        <f t="shared" si="6"/>
        <v>5.9999896988451029</v>
      </c>
    </row>
    <row r="148" spans="1:3" ht="16.5" hidden="1" customHeight="1">
      <c r="A148" s="1">
        <f t="shared" si="6"/>
        <v>5.9999896988451029</v>
      </c>
      <c r="B148" s="1">
        <f t="shared" si="6"/>
        <v>5.9999896988451029</v>
      </c>
      <c r="C148" s="1">
        <f>$A142*C$144+B142</f>
        <v>10.999988612304357</v>
      </c>
    </row>
    <row r="149" spans="1:3" ht="16.5" hidden="1" customHeight="1">
      <c r="A149" s="1" t="s">
        <v>8</v>
      </c>
    </row>
    <row r="150" spans="1:3" ht="16.5" hidden="1" customHeight="1">
      <c r="A150" s="1">
        <f t="array" ref="A150:C152">MINVERSE(A146:C148)</f>
        <v>0.14782613608850931</v>
      </c>
      <c r="B150" s="1">
        <v>-5.2173907373129956E-2</v>
      </c>
      <c r="C150" s="1">
        <v>-5.2173907373129956E-2</v>
      </c>
    </row>
    <row r="151" spans="1:3" ht="16.5" hidden="1" customHeight="1">
      <c r="A151" s="1">
        <v>-5.2173907373129963E-2</v>
      </c>
      <c r="B151" s="1">
        <v>0.14782613608850931</v>
      </c>
      <c r="C151" s="1">
        <v>-5.2173907373129963E-2</v>
      </c>
    </row>
    <row r="152" spans="1:3" ht="16.5" hidden="1" customHeight="1">
      <c r="A152" s="1">
        <v>-5.2173907373129949E-2</v>
      </c>
      <c r="B152" s="1">
        <v>-5.2173907373129956E-2</v>
      </c>
      <c r="C152" s="1">
        <v>0.14782613608850931</v>
      </c>
    </row>
    <row r="153" spans="1:3" ht="16.5" hidden="1" customHeight="1">
      <c r="A153" s="1" t="s">
        <v>9</v>
      </c>
    </row>
    <row r="154" spans="1:3" ht="16.5" hidden="1" customHeight="1">
      <c r="A154" s="1">
        <f t="array" ref="A154:C156">MMULT(A80:C82,A150:C152)</f>
        <v>0.80000056503440375</v>
      </c>
      <c r="B154" s="1">
        <v>0.2000004346494858</v>
      </c>
      <c r="C154" s="1">
        <v>3.9118784656011485E-7</v>
      </c>
    </row>
    <row r="155" spans="1:3" ht="16.5" hidden="1" customHeight="1">
      <c r="A155" s="1">
        <v>0.2000004346494858</v>
      </c>
      <c r="B155" s="1">
        <v>1.0000006084960429</v>
      </c>
      <c r="C155" s="1">
        <v>-0.19999965227379268</v>
      </c>
    </row>
    <row r="156" spans="1:3" ht="16.5" hidden="1" customHeight="1">
      <c r="A156" s="1">
        <v>3.9118784656011485E-7</v>
      </c>
      <c r="B156" s="1">
        <v>-0.19999965227379257</v>
      </c>
      <c r="C156" s="1">
        <v>1.2000006519576822</v>
      </c>
    </row>
    <row r="157" spans="1:3" ht="16.5" hidden="1" customHeight="1">
      <c r="A157" s="1" t="s">
        <v>10</v>
      </c>
    </row>
    <row r="158" spans="1:3" ht="16.5" hidden="1" customHeight="1">
      <c r="A158" s="1">
        <f>LN(MDETERM(A146:C148))+SUM(A154,B155,C156)-LN(MDETERM(A80:C82))-3</f>
        <v>0.12783337151089924</v>
      </c>
    </row>
    <row r="159" spans="1:3" ht="16.5" hidden="1" customHeight="1">
      <c r="A159" s="1">
        <f>MIN($A$158)</f>
        <v>0.12783337151089924</v>
      </c>
    </row>
    <row r="160" spans="1:3" ht="16.5" hidden="1" customHeight="1">
      <c r="A160" s="1">
        <f>COUNT($D$139,$D$140)</f>
        <v>2</v>
      </c>
    </row>
    <row r="161" spans="1:3" ht="16.5" hidden="1" customHeight="1">
      <c r="A161" s="1">
        <f>{32767,32767,0.000001,0.01,FALSE,FALSE,TRUE,1,1,1,0.0001,TRUE}</f>
        <v>32767</v>
      </c>
    </row>
    <row r="162" spans="1:3" ht="16.5" hidden="1" customHeight="1">
      <c r="A162" s="1">
        <f>{0,0,1,100,0,FALSE,TRUE,0.075,0,0,FALSE,30}</f>
        <v>0</v>
      </c>
    </row>
    <row r="163" spans="1:3" ht="16.5" hidden="1" customHeight="1">
      <c r="A163" s="1" t="s">
        <v>26</v>
      </c>
    </row>
    <row r="164" spans="1:3" ht="16.5" hidden="1" customHeight="1">
      <c r="A164" s="1">
        <f>A80</f>
        <v>10</v>
      </c>
      <c r="B164" s="1">
        <v>0</v>
      </c>
      <c r="C164" s="1">
        <v>0</v>
      </c>
    </row>
    <row r="165" spans="1:3" ht="16.5" hidden="1" customHeight="1">
      <c r="A165" s="1">
        <v>0</v>
      </c>
      <c r="B165" s="1">
        <f>B81</f>
        <v>11</v>
      </c>
      <c r="C165" s="1">
        <v>0</v>
      </c>
    </row>
    <row r="166" spans="1:3" ht="16.5" hidden="1" customHeight="1">
      <c r="A166" s="1">
        <v>0</v>
      </c>
      <c r="B166" s="1">
        <v>0</v>
      </c>
      <c r="C166" s="1">
        <f>C82</f>
        <v>12</v>
      </c>
    </row>
    <row r="167" spans="1:3" ht="16.5" hidden="1" customHeight="1">
      <c r="A167" s="1" t="s">
        <v>8</v>
      </c>
    </row>
    <row r="168" spans="1:3" ht="16.5" hidden="1" customHeight="1">
      <c r="A168" s="1">
        <f t="array" ref="A168:C170">MINVERSE(A164:C166)</f>
        <v>0.1</v>
      </c>
      <c r="B168" s="1">
        <v>0</v>
      </c>
      <c r="C168" s="1">
        <v>0</v>
      </c>
    </row>
    <row r="169" spans="1:3" ht="16.5" hidden="1" customHeight="1">
      <c r="A169" s="1">
        <v>0</v>
      </c>
      <c r="B169" s="1">
        <v>9.0909090909090912E-2</v>
      </c>
      <c r="C169" s="1">
        <v>0</v>
      </c>
    </row>
    <row r="170" spans="1:3" ht="16.5" hidden="1" customHeight="1">
      <c r="A170" s="1">
        <v>0</v>
      </c>
      <c r="B170" s="1">
        <v>0</v>
      </c>
      <c r="C170" s="1">
        <v>8.3333333333333329E-2</v>
      </c>
    </row>
    <row r="171" spans="1:3" ht="16.5" hidden="1" customHeight="1">
      <c r="A171" s="1" t="s">
        <v>9</v>
      </c>
    </row>
    <row r="172" spans="1:3" ht="16.5" hidden="1" customHeight="1">
      <c r="A172" s="1">
        <f t="array" ref="A172:C174">MMULT(A80:C82,A168:C170)</f>
        <v>1</v>
      </c>
      <c r="B172" s="1">
        <v>0.63636363636363635</v>
      </c>
      <c r="C172" s="1">
        <v>0.5</v>
      </c>
    </row>
    <row r="173" spans="1:3" ht="16.5" hidden="1" customHeight="1">
      <c r="A173" s="1">
        <v>0.70000000000000007</v>
      </c>
      <c r="B173" s="1">
        <v>1</v>
      </c>
      <c r="C173" s="1">
        <v>0.41666666666666663</v>
      </c>
    </row>
    <row r="174" spans="1:3" ht="16.5" hidden="1" customHeight="1">
      <c r="A174" s="1">
        <v>0.60000000000000009</v>
      </c>
      <c r="B174" s="1">
        <v>0.45454545454545459</v>
      </c>
      <c r="C174" s="1">
        <v>1</v>
      </c>
    </row>
    <row r="175" spans="1:3" ht="16.5" hidden="1" customHeight="1">
      <c r="A175" s="1" t="s">
        <v>10</v>
      </c>
    </row>
    <row r="176" spans="1:3" ht="16.5" hidden="1" customHeight="1">
      <c r="A176" s="1">
        <f>LN(MDETERM(A164:C166))+SUM(A172,B173,C174)-LN(MDETERM(A80:C82))-3</f>
        <v>0.95885034629295163</v>
      </c>
    </row>
    <row r="178" spans="1:4" ht="16.5" hidden="1" customHeight="1">
      <c r="A178" s="1" t="s">
        <v>34</v>
      </c>
    </row>
    <row r="179" spans="1:4" ht="16.5" hidden="1" customHeight="1">
      <c r="A179" s="1" t="s">
        <v>35</v>
      </c>
      <c r="B179" s="1" t="s">
        <v>36</v>
      </c>
    </row>
    <row r="180" spans="1:4" ht="16.5" hidden="1" customHeight="1">
      <c r="A180" s="1">
        <v>1.9656874762403316</v>
      </c>
      <c r="B180" s="1">
        <v>6.1360395300160935</v>
      </c>
    </row>
    <row r="181" spans="1:4" ht="16.5" hidden="1" customHeight="1">
      <c r="A181" s="1">
        <v>2.2516824824037611</v>
      </c>
      <c r="B181" s="1">
        <v>5.9298863652098648</v>
      </c>
    </row>
    <row r="182" spans="1:4" ht="16.5" hidden="1" customHeight="1">
      <c r="A182" s="1">
        <v>2.5367333068502065</v>
      </c>
      <c r="B182" s="1">
        <v>5.5649495812591905</v>
      </c>
    </row>
    <row r="183" spans="1:4" ht="16.5" hidden="1" customHeight="1">
      <c r="A183" s="1">
        <v>3.5526305746458116</v>
      </c>
      <c r="B183" s="1">
        <v>0.37874756983917651</v>
      </c>
    </row>
    <row r="184" spans="1:4" ht="16.5" hidden="1" customHeight="1">
      <c r="A184" s="1" t="s">
        <v>37</v>
      </c>
    </row>
    <row r="185" spans="1:4" ht="16.5" hidden="1" customHeight="1">
      <c r="A185" s="1">
        <f t="array" ref="A185:D185">TRANSPOSE(A180:A183)</f>
        <v>1.9656874762403316</v>
      </c>
      <c r="B185" s="1">
        <v>2.2516824824037611</v>
      </c>
      <c r="C185" s="1">
        <v>2.5367333068502065</v>
      </c>
      <c r="D185" s="1">
        <v>3.5526305746458116</v>
      </c>
    </row>
    <row r="186" spans="1:4" ht="16.5" hidden="1" customHeight="1">
      <c r="A186" s="1" t="s">
        <v>38</v>
      </c>
    </row>
    <row r="187" spans="1:4" ht="16.5" hidden="1" customHeight="1">
      <c r="A187" s="1">
        <f>$A180*A$185+B180</f>
        <v>9.9999667842641777</v>
      </c>
      <c r="B187" s="1">
        <f t="shared" ref="B187:D187" si="7">$A180*B$185</f>
        <v>4.4261040561308143</v>
      </c>
      <c r="C187" s="1">
        <f t="shared" si="7"/>
        <v>4.9864248918371734</v>
      </c>
      <c r="D187" s="1">
        <f t="shared" si="7"/>
        <v>6.983361428289764</v>
      </c>
    </row>
    <row r="188" spans="1:4" ht="16.5" hidden="1" customHeight="1">
      <c r="A188" s="1">
        <f t="shared" ref="A188:D190" si="8">$A181*A$185</f>
        <v>4.4261040561308143</v>
      </c>
      <c r="B188" s="1">
        <f>$A181*B$185+B181</f>
        <v>10.999960366773829</v>
      </c>
      <c r="C188" s="1">
        <f t="shared" si="8"/>
        <v>5.7119179495647749</v>
      </c>
      <c r="D188" s="1">
        <f t="shared" si="8"/>
        <v>7.9993960313819814</v>
      </c>
    </row>
    <row r="189" spans="1:4" ht="16.5" hidden="1" customHeight="1">
      <c r="A189" s="1">
        <f t="shared" si="8"/>
        <v>4.9864248918371734</v>
      </c>
      <c r="B189" s="1">
        <f t="shared" si="8"/>
        <v>5.7119179495647749</v>
      </c>
      <c r="C189" s="1">
        <f>$A182*C$185+B182</f>
        <v>11.999965451342375</v>
      </c>
      <c r="D189" s="1">
        <f t="shared" si="8"/>
        <v>9.0120763056384181</v>
      </c>
    </row>
    <row r="190" spans="1:4" ht="16.5" hidden="1" customHeight="1">
      <c r="A190" s="1">
        <f t="shared" si="8"/>
        <v>6.983361428289764</v>
      </c>
      <c r="B190" s="1">
        <f t="shared" si="8"/>
        <v>7.9993960313819814</v>
      </c>
      <c r="C190" s="1">
        <f t="shared" si="8"/>
        <v>9.0120763056384181</v>
      </c>
      <c r="D190" s="1">
        <f>$A183*D$185+B183</f>
        <v>12.999931569747407</v>
      </c>
    </row>
    <row r="191" spans="1:4" ht="16.5" hidden="1" customHeight="1">
      <c r="A191" s="1" t="s">
        <v>39</v>
      </c>
    </row>
    <row r="192" spans="1:4" ht="16.5" hidden="1" customHeight="1">
      <c r="A192" s="1">
        <f t="array" ref="A192:D195">MINVERSE(A187:D190)</f>
        <v>0.16019526414553695</v>
      </c>
      <c r="B192" s="1">
        <v>-3.2908029081698794E-3</v>
      </c>
      <c r="C192" s="1">
        <v>-3.950523699791088E-3</v>
      </c>
      <c r="D192" s="1">
        <v>-8.1290779586445303E-2</v>
      </c>
    </row>
    <row r="193" spans="1:4" ht="16.5" hidden="1" customHeight="1">
      <c r="A193" s="1">
        <v>-3.2908029081698707E-3</v>
      </c>
      <c r="B193" s="1">
        <v>0.16473665150739344</v>
      </c>
      <c r="C193" s="1">
        <v>-4.6826222858137034E-3</v>
      </c>
      <c r="D193" s="1">
        <v>-9.6355330343364617E-2</v>
      </c>
    </row>
    <row r="194" spans="1:4" ht="16.5" hidden="1" customHeight="1">
      <c r="A194" s="1">
        <v>-3.9505236997910836E-3</v>
      </c>
      <c r="B194" s="1">
        <v>-4.6826222858136982E-3</v>
      </c>
      <c r="C194" s="1">
        <v>0.17407478052752834</v>
      </c>
      <c r="D194" s="1">
        <v>-0.11567207965497771</v>
      </c>
    </row>
    <row r="195" spans="1:4" ht="16.5" hidden="1" customHeight="1">
      <c r="A195" s="1">
        <v>-8.1290779586445303E-2</v>
      </c>
      <c r="B195" s="1">
        <v>-9.6355330343364631E-2</v>
      </c>
      <c r="C195" s="1">
        <v>-0.11567207965497769</v>
      </c>
      <c r="D195" s="1">
        <v>0.26007159591064172</v>
      </c>
    </row>
    <row r="196" spans="1:4" ht="16.5" hidden="1" customHeight="1">
      <c r="A196" s="1" t="s">
        <v>40</v>
      </c>
    </row>
    <row r="197" spans="1:4" ht="16.5" hidden="1" customHeight="1">
      <c r="A197" s="1" t="e">
        <f t="array" ref="A197:D200">MMULT(A80:D83,A192:D195)</f>
        <v>#VALUE!</v>
      </c>
      <c r="B197" s="1" t="e">
        <v>#VALUE!</v>
      </c>
      <c r="C197" s="1" t="e">
        <v>#VALUE!</v>
      </c>
      <c r="D197" s="1" t="e">
        <v>#VALUE!</v>
      </c>
    </row>
    <row r="198" spans="1:4" ht="16.5" hidden="1" customHeight="1">
      <c r="A198" s="1" t="e">
        <v>#VALUE!</v>
      </c>
      <c r="B198" s="1" t="e">
        <v>#VALUE!</v>
      </c>
      <c r="C198" s="1" t="e">
        <v>#VALUE!</v>
      </c>
      <c r="D198" s="1" t="e">
        <v>#VALUE!</v>
      </c>
    </row>
    <row r="199" spans="1:4" ht="16.5" hidden="1" customHeight="1">
      <c r="A199" s="1" t="e">
        <v>#VALUE!</v>
      </c>
      <c r="B199" s="1" t="e">
        <v>#VALUE!</v>
      </c>
      <c r="C199" s="1" t="e">
        <v>#VALUE!</v>
      </c>
      <c r="D199" s="1" t="e">
        <v>#VALUE!</v>
      </c>
    </row>
    <row r="200" spans="1:4" ht="16.5" hidden="1" customHeight="1">
      <c r="A200" s="1" t="e">
        <v>#VALUE!</v>
      </c>
      <c r="B200" s="1" t="e">
        <v>#VALUE!</v>
      </c>
      <c r="C200" s="1" t="e">
        <v>#VALUE!</v>
      </c>
      <c r="D200" s="1" t="e">
        <v>#VALUE!</v>
      </c>
    </row>
    <row r="201" spans="1:4" ht="16.5" hidden="1" customHeight="1">
      <c r="A201" s="1" t="s">
        <v>41</v>
      </c>
    </row>
    <row r="202" spans="1:4" ht="16.5" hidden="1" customHeight="1">
      <c r="A202" s="1" t="e">
        <f>LN(MDETERM(A187:D190))+SUM(A197,B198,C199,D200)-LN(MDETERM(A80:D83))-4</f>
        <v>#VALUE!</v>
      </c>
    </row>
    <row r="203" spans="1:4" ht="16.5" hidden="1" customHeight="1">
      <c r="A203" s="1" t="e">
        <f>MIN($A$202)</f>
        <v>#VALUE!</v>
      </c>
    </row>
    <row r="204" spans="1:4" ht="16.5" hidden="1" customHeight="1">
      <c r="A204" s="1">
        <f>COUNT($A$180,$A$181,$A$182,$A$183,$B$180,$B$181,$B$182,$B$183)</f>
        <v>8</v>
      </c>
    </row>
    <row r="205" spans="1:4" ht="16.5" hidden="1" customHeight="1">
      <c r="A205" s="1">
        <f>{32767,32767,0.000001,0.01,FALSE,FALSE,TRUE,1,1,1,0.0001,TRUE}</f>
        <v>32767</v>
      </c>
    </row>
    <row r="206" spans="1:4" ht="16.5" hidden="1" customHeight="1">
      <c r="A206" s="1">
        <f>{0,0,1,100,0,FALSE,TRUE,0.075,0,0,FALSE,30}</f>
        <v>0</v>
      </c>
    </row>
    <row r="207" spans="1:4" ht="16.5" hidden="1" customHeight="1">
      <c r="A207" s="1" t="s">
        <v>34</v>
      </c>
    </row>
    <row r="208" spans="1:4" ht="16.5" hidden="1" customHeight="1">
      <c r="A208" s="1" t="s">
        <v>42</v>
      </c>
      <c r="B208" s="1" t="s">
        <v>43</v>
      </c>
      <c r="C208" s="1" t="s">
        <v>44</v>
      </c>
      <c r="D208" s="1">
        <v>2.6767876946226745</v>
      </c>
    </row>
    <row r="209" spans="1:4" ht="16.5" hidden="1" customHeight="1">
      <c r="A209" s="1">
        <f>D$208</f>
        <v>2.6767876946226745</v>
      </c>
      <c r="B209" s="1">
        <v>6.0339145384684549</v>
      </c>
    </row>
    <row r="210" spans="1:4" ht="16.5" hidden="1" customHeight="1">
      <c r="A210" s="1">
        <f t="shared" ref="A210:A212" si="9">D$208</f>
        <v>2.6767876946226745</v>
      </c>
      <c r="B210" s="1">
        <v>5.4129005429233539</v>
      </c>
    </row>
    <row r="211" spans="1:4" ht="16.5" hidden="1" customHeight="1">
      <c r="A211" s="1">
        <f t="shared" si="9"/>
        <v>2.6767876946226745</v>
      </c>
      <c r="B211" s="1">
        <v>4.8382244573846149</v>
      </c>
    </row>
    <row r="212" spans="1:4" ht="16.5" hidden="1" customHeight="1">
      <c r="A212" s="1">
        <f t="shared" si="9"/>
        <v>2.6767876946226745</v>
      </c>
      <c r="B212" s="1">
        <v>3.2016277016942762</v>
      </c>
    </row>
    <row r="213" spans="1:4" ht="16.5" hidden="1" customHeight="1">
      <c r="A213" s="1" t="s">
        <v>37</v>
      </c>
    </row>
    <row r="214" spans="1:4" ht="16.5" hidden="1" customHeight="1">
      <c r="A214" s="1">
        <f t="array" ref="A214:D214">TRANSPOSE(A209:A212)</f>
        <v>2.6767876946226745</v>
      </c>
      <c r="B214" s="1">
        <v>2.6767876946226745</v>
      </c>
      <c r="C214" s="1">
        <v>2.6767876946226745</v>
      </c>
      <c r="D214" s="1">
        <v>2.6767876946226745</v>
      </c>
    </row>
    <row r="215" spans="1:4" ht="16.5" hidden="1" customHeight="1">
      <c r="A215" s="1" t="s">
        <v>38</v>
      </c>
    </row>
    <row r="216" spans="1:4" ht="16.5" hidden="1" customHeight="1">
      <c r="A216" s="1">
        <f>$A209*A$214+B209</f>
        <v>13.199106900551827</v>
      </c>
      <c r="B216" s="1">
        <f t="shared" ref="B216:D216" si="10">$A209*B$214</f>
        <v>7.1651923620833724</v>
      </c>
      <c r="C216" s="1">
        <f t="shared" si="10"/>
        <v>7.1651923620833724</v>
      </c>
      <c r="D216" s="1">
        <f t="shared" si="10"/>
        <v>7.1651923620833724</v>
      </c>
    </row>
    <row r="217" spans="1:4" ht="16.5" hidden="1" customHeight="1">
      <c r="A217" s="1">
        <f t="shared" ref="A217:D219" si="11">$A210*A$214</f>
        <v>7.1651923620833724</v>
      </c>
      <c r="B217" s="1">
        <f>$A210*B$214+B210</f>
        <v>12.578092905006727</v>
      </c>
      <c r="C217" s="1">
        <f t="shared" si="11"/>
        <v>7.1651923620833724</v>
      </c>
      <c r="D217" s="1">
        <f t="shared" si="11"/>
        <v>7.1651923620833724</v>
      </c>
    </row>
    <row r="218" spans="1:4" ht="16.5" hidden="1" customHeight="1">
      <c r="A218" s="1">
        <f t="shared" si="11"/>
        <v>7.1651923620833724</v>
      </c>
      <c r="B218" s="1">
        <f t="shared" si="11"/>
        <v>7.1651923620833724</v>
      </c>
      <c r="C218" s="1">
        <f>$A211*C$214+B211</f>
        <v>12.003416819467986</v>
      </c>
      <c r="D218" s="1">
        <f t="shared" si="11"/>
        <v>7.1651923620833724</v>
      </c>
    </row>
    <row r="219" spans="1:4" ht="16.5" hidden="1" customHeight="1">
      <c r="A219" s="1">
        <f t="shared" si="11"/>
        <v>7.1651923620833724</v>
      </c>
      <c r="B219" s="1">
        <f t="shared" si="11"/>
        <v>7.1651923620833724</v>
      </c>
      <c r="C219" s="1">
        <f t="shared" si="11"/>
        <v>7.1651923620833724</v>
      </c>
      <c r="D219" s="1">
        <f>$A212*D$214+B212</f>
        <v>10.366820063777649</v>
      </c>
    </row>
    <row r="220" spans="1:4" ht="16.5" hidden="1" customHeight="1">
      <c r="A220" s="1" t="s">
        <v>39</v>
      </c>
    </row>
    <row r="221" spans="1:4" ht="16.5" hidden="1" customHeight="1">
      <c r="A221" s="1">
        <f t="array" ref="A221:D224">MINVERSE(A216:D219)</f>
        <v>0.13851026311128734</v>
      </c>
      <c r="B221" s="1">
        <v>-3.0342495374395057E-2</v>
      </c>
      <c r="C221" s="1">
        <v>-3.3946525452127459E-2</v>
      </c>
      <c r="D221" s="1">
        <v>-5.1299190595707735E-2</v>
      </c>
    </row>
    <row r="222" spans="1:4" ht="16.5" hidden="1" customHeight="1">
      <c r="A222" s="1">
        <v>-3.0342495374395043E-2</v>
      </c>
      <c r="B222" s="1">
        <v>0.15092018956362216</v>
      </c>
      <c r="C222" s="1">
        <v>-3.7841159620763724E-2</v>
      </c>
      <c r="D222" s="1">
        <v>-5.7184670121415905E-2</v>
      </c>
    </row>
    <row r="223" spans="1:4" ht="16.5" hidden="1" customHeight="1">
      <c r="A223" s="1">
        <v>-3.3946525452127452E-2</v>
      </c>
      <c r="B223" s="1">
        <v>-3.7841159620763731E-2</v>
      </c>
      <c r="C223" s="1">
        <v>0.16435152472726772</v>
      </c>
      <c r="D223" s="1">
        <v>-6.3976968136453427E-2</v>
      </c>
    </row>
    <row r="224" spans="1:4" ht="16.5" hidden="1" customHeight="1">
      <c r="A224" s="1">
        <v>-5.1299190595707728E-2</v>
      </c>
      <c r="B224" s="1">
        <v>-5.7184670121415912E-2</v>
      </c>
      <c r="C224" s="1">
        <v>-6.3976968136453427E-2</v>
      </c>
      <c r="D224" s="1">
        <v>0.21566063652170001</v>
      </c>
    </row>
    <row r="225" spans="1:4" ht="16.5" hidden="1" customHeight="1">
      <c r="A225" s="1" t="s">
        <v>40</v>
      </c>
    </row>
    <row r="226" spans="1:4" ht="16.5" hidden="1" customHeight="1">
      <c r="A226" s="1" t="e">
        <f t="array" ref="A226:D229">MMULT(A80:D83,A221:D224)</f>
        <v>#VALUE!</v>
      </c>
      <c r="B226" s="1" t="e">
        <v>#VALUE!</v>
      </c>
      <c r="C226" s="1" t="e">
        <v>#VALUE!</v>
      </c>
      <c r="D226" s="1" t="e">
        <v>#VALUE!</v>
      </c>
    </row>
    <row r="227" spans="1:4" ht="16.5" hidden="1" customHeight="1">
      <c r="A227" s="1" t="e">
        <v>#VALUE!</v>
      </c>
      <c r="B227" s="1" t="e">
        <v>#VALUE!</v>
      </c>
      <c r="C227" s="1" t="e">
        <v>#VALUE!</v>
      </c>
      <c r="D227" s="1" t="e">
        <v>#VALUE!</v>
      </c>
    </row>
    <row r="228" spans="1:4" ht="16.5" hidden="1" customHeight="1">
      <c r="A228" s="1" t="e">
        <v>#VALUE!</v>
      </c>
      <c r="B228" s="1" t="e">
        <v>#VALUE!</v>
      </c>
      <c r="C228" s="1" t="e">
        <v>#VALUE!</v>
      </c>
      <c r="D228" s="1" t="e">
        <v>#VALUE!</v>
      </c>
    </row>
    <row r="229" spans="1:4" ht="16.5" hidden="1" customHeight="1">
      <c r="A229" s="1" t="e">
        <v>#VALUE!</v>
      </c>
      <c r="B229" s="1" t="e">
        <v>#VALUE!</v>
      </c>
      <c r="C229" s="1" t="e">
        <v>#VALUE!</v>
      </c>
      <c r="D229" s="1" t="e">
        <v>#VALUE!</v>
      </c>
    </row>
    <row r="230" spans="1:4" ht="16.5" hidden="1" customHeight="1">
      <c r="A230" s="1" t="s">
        <v>41</v>
      </c>
    </row>
    <row r="231" spans="1:4" ht="16.5" hidden="1" customHeight="1">
      <c r="A231" s="1" t="e">
        <f>LN(MDETERM(A216:D219))+SUM(A226,B227,C228,D229)-LN(MDETERM(A80:D83))-4</f>
        <v>#VALUE!</v>
      </c>
    </row>
    <row r="232" spans="1:4" ht="16.5" hidden="1" customHeight="1">
      <c r="A232" s="1" t="e">
        <f>MIN($A$231)</f>
        <v>#VALUE!</v>
      </c>
    </row>
    <row r="233" spans="1:4" ht="16.5" hidden="1" customHeight="1">
      <c r="A233" s="1">
        <f>COUNT($B$209,$B$210,$B$211,$B$212,$D$208)</f>
        <v>5</v>
      </c>
    </row>
    <row r="234" spans="1:4" ht="16.5" hidden="1" customHeight="1">
      <c r="A234" s="1">
        <f>{32767,32767,0.000001,0.01,FALSE,FALSE,TRUE,1,1,1,0.0001,TRUE}</f>
        <v>32767</v>
      </c>
    </row>
    <row r="235" spans="1:4" ht="16.5" hidden="1" customHeight="1">
      <c r="A235" s="1">
        <f>{0,0,1,100,0,FALSE,TRUE,0.075,0,0,FALSE,30}</f>
        <v>0</v>
      </c>
    </row>
    <row r="236" spans="1:4" ht="16.5" hidden="1" customHeight="1">
      <c r="A236" s="1" t="s">
        <v>34</v>
      </c>
    </row>
    <row r="237" spans="1:4" ht="16.5" hidden="1" customHeight="1">
      <c r="A237" s="1" t="s">
        <v>45</v>
      </c>
      <c r="B237" s="1" t="s">
        <v>46</v>
      </c>
      <c r="C237" s="1" t="s">
        <v>44</v>
      </c>
      <c r="D237" s="1">
        <v>2.5495075431489678</v>
      </c>
    </row>
    <row r="238" spans="1:4" ht="16.5" hidden="1" customHeight="1">
      <c r="A238" s="1">
        <f>D$237</f>
        <v>2.5495075431489678</v>
      </c>
      <c r="B238" s="1">
        <f>D$238</f>
        <v>5.0000001000592382</v>
      </c>
      <c r="C238" s="1" t="s">
        <v>47</v>
      </c>
      <c r="D238" s="1">
        <v>5.0000001000592382</v>
      </c>
    </row>
    <row r="239" spans="1:4" ht="16.5" hidden="1" customHeight="1">
      <c r="A239" s="1">
        <f t="shared" ref="A239:A241" si="12">D$237</f>
        <v>2.5495075431489678</v>
      </c>
      <c r="B239" s="1">
        <f t="shared" ref="B239:B241" si="13">D$238</f>
        <v>5.0000001000592382</v>
      </c>
    </row>
    <row r="240" spans="1:4" ht="16.5" hidden="1" customHeight="1">
      <c r="A240" s="1">
        <f t="shared" si="12"/>
        <v>2.5495075431489678</v>
      </c>
      <c r="B240" s="1">
        <f t="shared" si="13"/>
        <v>5.0000001000592382</v>
      </c>
    </row>
    <row r="241" spans="1:4" ht="16.5" hidden="1" customHeight="1">
      <c r="A241" s="1">
        <f t="shared" si="12"/>
        <v>2.5495075431489678</v>
      </c>
      <c r="B241" s="1">
        <f t="shared" si="13"/>
        <v>5.0000001000592382</v>
      </c>
    </row>
    <row r="242" spans="1:4" ht="16.5" hidden="1" customHeight="1">
      <c r="A242" s="1" t="s">
        <v>48</v>
      </c>
    </row>
    <row r="243" spans="1:4" ht="16.5" hidden="1" customHeight="1">
      <c r="A243" s="1">
        <f t="array" ref="A243:D243">TRANSPOSE(A238:A241)</f>
        <v>2.5495075431489678</v>
      </c>
      <c r="B243" s="1">
        <v>2.5495075431489678</v>
      </c>
      <c r="C243" s="1">
        <v>2.5495075431489678</v>
      </c>
      <c r="D243" s="1">
        <v>2.5495075431489678</v>
      </c>
    </row>
    <row r="244" spans="1:4" ht="16.5" hidden="1" customHeight="1">
      <c r="A244" s="1" t="s">
        <v>38</v>
      </c>
    </row>
    <row r="245" spans="1:4" ht="16.5" hidden="1" customHeight="1">
      <c r="A245" s="1">
        <f>$A238*A$243+B238</f>
        <v>11.499988812632724</v>
      </c>
      <c r="B245" s="1">
        <f t="shared" ref="B245:D245" si="14">$A238*B$243</f>
        <v>6.4999887125734856</v>
      </c>
      <c r="C245" s="1">
        <f t="shared" si="14"/>
        <v>6.4999887125734856</v>
      </c>
      <c r="D245" s="1">
        <f t="shared" si="14"/>
        <v>6.4999887125734856</v>
      </c>
    </row>
    <row r="246" spans="1:4" ht="16.5" hidden="1" customHeight="1">
      <c r="A246" s="1">
        <f t="shared" ref="A246:D248" si="15">$A239*A$243</f>
        <v>6.4999887125734856</v>
      </c>
      <c r="B246" s="1">
        <f>$A239*B$243+B239</f>
        <v>11.499988812632724</v>
      </c>
      <c r="C246" s="1">
        <f t="shared" si="15"/>
        <v>6.4999887125734856</v>
      </c>
      <c r="D246" s="1">
        <f t="shared" si="15"/>
        <v>6.4999887125734856</v>
      </c>
    </row>
    <row r="247" spans="1:4" ht="16.5" hidden="1" customHeight="1">
      <c r="A247" s="1">
        <f t="shared" si="15"/>
        <v>6.4999887125734856</v>
      </c>
      <c r="B247" s="1">
        <f t="shared" si="15"/>
        <v>6.4999887125734856</v>
      </c>
      <c r="C247" s="1">
        <f>$A240*C$243+B240</f>
        <v>11.499988812632724</v>
      </c>
      <c r="D247" s="1">
        <f t="shared" si="15"/>
        <v>6.4999887125734856</v>
      </c>
    </row>
    <row r="248" spans="1:4" ht="16.5" hidden="1" customHeight="1">
      <c r="A248" s="1">
        <f t="shared" si="15"/>
        <v>6.4999887125734856</v>
      </c>
      <c r="B248" s="1">
        <f t="shared" si="15"/>
        <v>6.4999887125734856</v>
      </c>
      <c r="C248" s="1">
        <f t="shared" si="15"/>
        <v>6.4999887125734856</v>
      </c>
      <c r="D248" s="1">
        <f>$A241*D$243+B241</f>
        <v>11.499988812632724</v>
      </c>
    </row>
    <row r="249" spans="1:4" ht="16.5" hidden="1" customHeight="1">
      <c r="A249" s="1" t="s">
        <v>39</v>
      </c>
    </row>
    <row r="250" spans="1:4" ht="16.5" hidden="1" customHeight="1">
      <c r="A250" s="1">
        <f t="array" ref="A250:D253">MINVERSE(A245:D248)</f>
        <v>0.15806452484674327</v>
      </c>
      <c r="B250" s="1">
        <v>-4.1935471150887263E-2</v>
      </c>
      <c r="C250" s="1">
        <v>-4.193547115088727E-2</v>
      </c>
      <c r="D250" s="1">
        <v>-4.1935471150887263E-2</v>
      </c>
    </row>
    <row r="251" spans="1:4" ht="16.5" hidden="1" customHeight="1">
      <c r="A251" s="1">
        <v>-4.1935471150887277E-2</v>
      </c>
      <c r="B251" s="1">
        <v>0.15806452484674327</v>
      </c>
      <c r="C251" s="1">
        <v>-4.1935471150887263E-2</v>
      </c>
      <c r="D251" s="1">
        <v>-4.1935471150887263E-2</v>
      </c>
    </row>
    <row r="252" spans="1:4" ht="16.5" hidden="1" customHeight="1">
      <c r="A252" s="1">
        <v>-4.1935471150887277E-2</v>
      </c>
      <c r="B252" s="1">
        <v>-4.1935471150887277E-2</v>
      </c>
      <c r="C252" s="1">
        <v>0.15806452484674327</v>
      </c>
      <c r="D252" s="1">
        <v>-4.193547115088727E-2</v>
      </c>
    </row>
    <row r="253" spans="1:4" ht="16.5" hidden="1" customHeight="1">
      <c r="A253" s="1">
        <v>-4.193547115088727E-2</v>
      </c>
      <c r="B253" s="1">
        <v>-4.193547115088727E-2</v>
      </c>
      <c r="C253" s="1">
        <v>-4.1935471150887263E-2</v>
      </c>
      <c r="D253" s="1">
        <v>0.15806452484674327</v>
      </c>
    </row>
    <row r="254" spans="1:4" ht="16.5" hidden="1" customHeight="1">
      <c r="A254" s="1" t="s">
        <v>40</v>
      </c>
    </row>
    <row r="255" spans="1:4" ht="16.5" hidden="1" customHeight="1">
      <c r="A255" s="1" t="e">
        <f t="array" ref="A255:D258">MMULT(A80:D83,A250:D253)</f>
        <v>#VALUE!</v>
      </c>
      <c r="B255" s="1" t="e">
        <v>#VALUE!</v>
      </c>
      <c r="C255" s="1" t="e">
        <v>#VALUE!</v>
      </c>
      <c r="D255" s="1" t="e">
        <v>#VALUE!</v>
      </c>
    </row>
    <row r="256" spans="1:4" ht="16.5" hidden="1" customHeight="1">
      <c r="A256" s="1" t="e">
        <v>#VALUE!</v>
      </c>
      <c r="B256" s="1" t="e">
        <v>#VALUE!</v>
      </c>
      <c r="C256" s="1" t="e">
        <v>#VALUE!</v>
      </c>
      <c r="D256" s="1" t="e">
        <v>#VALUE!</v>
      </c>
    </row>
    <row r="257" spans="1:4" ht="16.5" hidden="1" customHeight="1">
      <c r="A257" s="1" t="e">
        <v>#VALUE!</v>
      </c>
      <c r="B257" s="1" t="e">
        <v>#VALUE!</v>
      </c>
      <c r="C257" s="1" t="e">
        <v>#VALUE!</v>
      </c>
      <c r="D257" s="1" t="e">
        <v>#VALUE!</v>
      </c>
    </row>
    <row r="258" spans="1:4" ht="16.5" hidden="1" customHeight="1">
      <c r="A258" s="1" t="e">
        <v>#VALUE!</v>
      </c>
      <c r="B258" s="1" t="e">
        <v>#VALUE!</v>
      </c>
      <c r="C258" s="1" t="e">
        <v>#VALUE!</v>
      </c>
      <c r="D258" s="1" t="e">
        <v>#VALUE!</v>
      </c>
    </row>
    <row r="259" spans="1:4" ht="16.5" hidden="1" customHeight="1">
      <c r="A259" s="1" t="s">
        <v>41</v>
      </c>
    </row>
    <row r="260" spans="1:4" ht="16.5" hidden="1" customHeight="1">
      <c r="A260" s="1" t="e">
        <f>LN(MDETERM(A245:D248))+SUM(A255,B256,C257,D258)-LN(MDETERM(A80:D83))-4</f>
        <v>#VALUE!</v>
      </c>
    </row>
    <row r="261" spans="1:4" ht="16.5" hidden="1" customHeight="1">
      <c r="A261" s="1" t="e">
        <f>MIN($A$260)</f>
        <v>#VALUE!</v>
      </c>
    </row>
    <row r="262" spans="1:4" ht="16.5" hidden="1" customHeight="1">
      <c r="A262" s="1">
        <f>COUNT($D$237,$D$238)</f>
        <v>2</v>
      </c>
    </row>
    <row r="263" spans="1:4" ht="16.5" hidden="1" customHeight="1">
      <c r="A263" s="1">
        <f>{32767,32767,0.000001,0.01,FALSE,FALSE,TRUE,1,1,1,0.0001,TRUE}</f>
        <v>32767</v>
      </c>
    </row>
    <row r="264" spans="1:4" ht="16.5" hidden="1" customHeight="1">
      <c r="A264" s="1">
        <f>{0,0,1,100,0,FALSE,TRUE,0.075,0,0,FALSE,30}</f>
        <v>0</v>
      </c>
    </row>
    <row r="265" spans="1:4" ht="16.5" hidden="1" customHeight="1">
      <c r="A265" s="1" t="s">
        <v>49</v>
      </c>
    </row>
    <row r="266" spans="1:4" ht="16.5" hidden="1" customHeight="1">
      <c r="A266" s="1">
        <f>A80</f>
        <v>10</v>
      </c>
      <c r="B266" s="1">
        <v>0</v>
      </c>
      <c r="C266" s="1">
        <v>0</v>
      </c>
      <c r="D266" s="1">
        <v>0</v>
      </c>
    </row>
    <row r="267" spans="1:4" ht="16.5" hidden="1" customHeight="1">
      <c r="A267" s="1">
        <v>0</v>
      </c>
      <c r="B267" s="1">
        <f>B81</f>
        <v>11</v>
      </c>
      <c r="C267" s="1">
        <v>0</v>
      </c>
      <c r="D267" s="1">
        <v>0</v>
      </c>
    </row>
    <row r="268" spans="1:4" ht="16.5" hidden="1" customHeight="1">
      <c r="A268" s="1">
        <v>0</v>
      </c>
      <c r="B268" s="1">
        <v>0</v>
      </c>
      <c r="C268" s="1">
        <f>C82</f>
        <v>12</v>
      </c>
      <c r="D268" s="1">
        <v>0</v>
      </c>
    </row>
    <row r="269" spans="1:4" ht="16.5" hidden="1" customHeight="1">
      <c r="A269" s="1">
        <v>0</v>
      </c>
      <c r="B269" s="1">
        <v>0</v>
      </c>
      <c r="C269" s="1">
        <v>0</v>
      </c>
      <c r="D269" s="1">
        <f>D83</f>
        <v>0</v>
      </c>
    </row>
    <row r="270" spans="1:4" ht="16.5" hidden="1" customHeight="1">
      <c r="A270" s="1" t="s">
        <v>39</v>
      </c>
    </row>
    <row r="271" spans="1:4" ht="16.5" hidden="1" customHeight="1">
      <c r="A271" s="1" t="e">
        <f t="array" ref="A271:D274">MINVERSE(A266:D269)</f>
        <v>#NUM!</v>
      </c>
      <c r="B271" s="1" t="e">
        <v>#NUM!</v>
      </c>
      <c r="C271" s="1" t="e">
        <v>#NUM!</v>
      </c>
      <c r="D271" s="1" t="e">
        <v>#NUM!</v>
      </c>
    </row>
    <row r="272" spans="1:4" ht="16.5" hidden="1" customHeight="1">
      <c r="A272" s="1" t="e">
        <v>#NUM!</v>
      </c>
      <c r="B272" s="1" t="e">
        <v>#NUM!</v>
      </c>
      <c r="C272" s="1" t="e">
        <v>#NUM!</v>
      </c>
      <c r="D272" s="1" t="e">
        <v>#NUM!</v>
      </c>
    </row>
    <row r="273" spans="1:4" ht="16.5" hidden="1" customHeight="1">
      <c r="A273" s="1" t="e">
        <v>#NUM!</v>
      </c>
      <c r="B273" s="1" t="e">
        <v>#NUM!</v>
      </c>
      <c r="C273" s="1" t="e">
        <v>#NUM!</v>
      </c>
      <c r="D273" s="1" t="e">
        <v>#NUM!</v>
      </c>
    </row>
    <row r="274" spans="1:4" ht="16.5" hidden="1" customHeight="1">
      <c r="A274" s="1" t="e">
        <v>#NUM!</v>
      </c>
      <c r="B274" s="1" t="e">
        <v>#NUM!</v>
      </c>
      <c r="C274" s="1" t="e">
        <v>#NUM!</v>
      </c>
      <c r="D274" s="1" t="e">
        <v>#NUM!</v>
      </c>
    </row>
    <row r="275" spans="1:4" ht="16.5" hidden="1" customHeight="1">
      <c r="A275" s="1" t="s">
        <v>40</v>
      </c>
    </row>
    <row r="276" spans="1:4" ht="16.5" hidden="1" customHeight="1">
      <c r="A276" s="1" t="e">
        <f t="array" ref="A276:D279">MMULT(A80:D83,A271:D274)</f>
        <v>#VALUE!</v>
      </c>
      <c r="B276" s="1" t="e">
        <v>#VALUE!</v>
      </c>
      <c r="C276" s="1" t="e">
        <v>#VALUE!</v>
      </c>
      <c r="D276" s="1" t="e">
        <v>#VALUE!</v>
      </c>
    </row>
    <row r="277" spans="1:4" ht="16.5" hidden="1" customHeight="1">
      <c r="A277" s="1" t="e">
        <v>#VALUE!</v>
      </c>
      <c r="B277" s="1" t="e">
        <v>#VALUE!</v>
      </c>
      <c r="C277" s="1" t="e">
        <v>#VALUE!</v>
      </c>
      <c r="D277" s="1" t="e">
        <v>#VALUE!</v>
      </c>
    </row>
    <row r="278" spans="1:4" ht="16.5" hidden="1" customHeight="1">
      <c r="A278" s="1" t="e">
        <v>#VALUE!</v>
      </c>
      <c r="B278" s="1" t="e">
        <v>#VALUE!</v>
      </c>
      <c r="C278" s="1" t="e">
        <v>#VALUE!</v>
      </c>
      <c r="D278" s="1" t="e">
        <v>#VALUE!</v>
      </c>
    </row>
    <row r="279" spans="1:4" ht="16.5" hidden="1" customHeight="1">
      <c r="A279" s="1" t="e">
        <v>#VALUE!</v>
      </c>
      <c r="B279" s="1" t="e">
        <v>#VALUE!</v>
      </c>
      <c r="C279" s="1" t="e">
        <v>#VALUE!</v>
      </c>
      <c r="D279" s="1" t="e">
        <v>#VALUE!</v>
      </c>
    </row>
    <row r="280" spans="1:4" ht="16.5" hidden="1" customHeight="1">
      <c r="A280" s="1" t="s">
        <v>41</v>
      </c>
    </row>
    <row r="281" spans="1:4" ht="16.5" hidden="1" customHeight="1">
      <c r="A281" s="1" t="e">
        <f>LN(MDETERM(A266:D269))+SUM(A276,B277,C278,D279)-LN(MDETERM(A80:D83))-4</f>
        <v>#NUM!</v>
      </c>
    </row>
    <row r="282" spans="1:4" ht="16.5" hidden="1" customHeight="1">
      <c r="A282" s="1" t="s">
        <v>50</v>
      </c>
    </row>
    <row r="283" spans="1:4" ht="16.5" hidden="1" customHeight="1">
      <c r="A283" s="1" t="s">
        <v>35</v>
      </c>
      <c r="B283" s="1" t="s">
        <v>36</v>
      </c>
    </row>
    <row r="284" spans="1:4" ht="16.5" hidden="1" customHeight="1">
      <c r="A284" s="1">
        <v>0.93290643869533441</v>
      </c>
      <c r="B284" s="1">
        <v>5.699684036602501</v>
      </c>
    </row>
    <row r="285" spans="1:4" ht="16.5" hidden="1" customHeight="1">
      <c r="A285" s="1">
        <v>1.6663614138108638</v>
      </c>
      <c r="B285" s="1">
        <v>3.4632367491323754</v>
      </c>
    </row>
    <row r="286" spans="1:4" ht="16.5" hidden="1" customHeight="1">
      <c r="A286" s="1">
        <v>2.148172886091321</v>
      </c>
      <c r="B286" s="1">
        <v>0.86534885352247948</v>
      </c>
    </row>
    <row r="287" spans="1:4" ht="16.5" hidden="1" customHeight="1">
      <c r="A287" s="1">
        <v>0.94301831724544705</v>
      </c>
      <c r="B287" s="1">
        <v>4.0807107460823167</v>
      </c>
    </row>
    <row r="288" spans="1:4" ht="16.5" hidden="1" customHeight="1">
      <c r="A288" s="1">
        <v>1.2035777792866766</v>
      </c>
      <c r="B288" s="1">
        <v>3.8213938869437833</v>
      </c>
    </row>
    <row r="289" spans="1:5" ht="16.5" hidden="1" customHeight="1">
      <c r="A289" s="1" t="s">
        <v>48</v>
      </c>
    </row>
    <row r="290" spans="1:5" ht="16.5" hidden="1" customHeight="1">
      <c r="A290" s="1">
        <f t="array" ref="A290:E290">TRANSPOSE(A284:A288)</f>
        <v>0.93290643869533441</v>
      </c>
      <c r="B290" s="1">
        <v>1.6663614138108638</v>
      </c>
      <c r="C290" s="1">
        <v>2.148172886091321</v>
      </c>
      <c r="D290" s="1">
        <v>0.94301831724544705</v>
      </c>
      <c r="E290" s="1">
        <v>1.2035777792866766</v>
      </c>
    </row>
    <row r="291" spans="1:5" ht="16.5" hidden="1" customHeight="1">
      <c r="A291" s="1" t="s">
        <v>38</v>
      </c>
    </row>
    <row r="292" spans="1:5" ht="16.5" hidden="1" customHeight="1">
      <c r="A292" s="1">
        <f>$A284*A$290+B284</f>
        <v>6.5699984599617132</v>
      </c>
      <c r="B292" s="1">
        <f t="shared" ref="B292:E292" si="16">$A284*B$290</f>
        <v>1.5545592921376155</v>
      </c>
      <c r="C292" s="1">
        <f t="shared" si="16"/>
        <v>2.0040443168653326</v>
      </c>
      <c r="D292" s="1">
        <f t="shared" si="16"/>
        <v>0.87974785996591709</v>
      </c>
      <c r="E292" s="1">
        <f t="shared" si="16"/>
        <v>1.1228254597671727</v>
      </c>
    </row>
    <row r="293" spans="1:5" ht="16.5" hidden="1" customHeight="1">
      <c r="A293" s="1">
        <f t="shared" ref="A293:E296" si="17">$A285*A$290</f>
        <v>1.5545592921376155</v>
      </c>
      <c r="B293" s="1">
        <f>$A285*B$290+B285</f>
        <v>6.2399971105701164</v>
      </c>
      <c r="C293" s="1">
        <f t="shared" si="17"/>
        <v>3.5796324075772974</v>
      </c>
      <c r="D293" s="1">
        <f t="shared" si="17"/>
        <v>1.5714093363746648</v>
      </c>
      <c r="E293" s="1">
        <f t="shared" si="17"/>
        <v>2.0055955699234862</v>
      </c>
    </row>
    <row r="294" spans="1:5" ht="16.5" hidden="1" customHeight="1">
      <c r="A294" s="1">
        <f t="shared" si="17"/>
        <v>2.0040443168653326</v>
      </c>
      <c r="B294" s="1">
        <f t="shared" si="17"/>
        <v>3.5796324075772974</v>
      </c>
      <c r="C294" s="1">
        <f>$A286*C$290+B286</f>
        <v>5.479995602060395</v>
      </c>
      <c r="D294" s="1">
        <f t="shared" si="17"/>
        <v>2.025766380194133</v>
      </c>
      <c r="E294" s="1">
        <f t="shared" si="17"/>
        <v>2.5854931517656432</v>
      </c>
    </row>
    <row r="295" spans="1:5" ht="16.5" hidden="1" customHeight="1">
      <c r="A295" s="1">
        <f t="shared" si="17"/>
        <v>0.87974785996591709</v>
      </c>
      <c r="B295" s="1">
        <f t="shared" si="17"/>
        <v>1.5714093363746648</v>
      </c>
      <c r="C295" s="1">
        <f t="shared" si="17"/>
        <v>2.025766380194133</v>
      </c>
      <c r="D295" s="1">
        <f>$A287*D$290+B287</f>
        <v>4.9699942927427516</v>
      </c>
      <c r="E295" s="1">
        <f t="shared" si="17"/>
        <v>1.1349958920969339</v>
      </c>
    </row>
    <row r="296" spans="1:5" ht="16.5" hidden="1" customHeight="1">
      <c r="A296" s="1">
        <f t="shared" si="17"/>
        <v>1.1228254597671727</v>
      </c>
      <c r="B296" s="1">
        <f t="shared" si="17"/>
        <v>2.0055955699234862</v>
      </c>
      <c r="C296" s="1">
        <f t="shared" si="17"/>
        <v>2.5854931517656432</v>
      </c>
      <c r="D296" s="1">
        <f t="shared" si="17"/>
        <v>1.1349958920969339</v>
      </c>
      <c r="E296" s="1">
        <f>$A288*E$290+B288</f>
        <v>5.269993357736432</v>
      </c>
    </row>
    <row r="297" spans="1:5" ht="16.5" hidden="1" customHeight="1">
      <c r="A297" s="1" t="s">
        <v>39</v>
      </c>
    </row>
    <row r="298" spans="1:5" ht="16.5" hidden="1" customHeight="1">
      <c r="A298" s="1">
        <f t="array" ref="A298:E302">MINVERSE(A292:E296)</f>
        <v>0.17205036247671215</v>
      </c>
      <c r="B298" s="1">
        <v>-9.9889055752388871E-3</v>
      </c>
      <c r="C298" s="1">
        <v>-5.1535785099155441E-2</v>
      </c>
      <c r="D298" s="1">
        <v>-4.7975024517651309E-3</v>
      </c>
      <c r="E298" s="1">
        <v>-6.5385770383456013E-3</v>
      </c>
    </row>
    <row r="299" spans="1:5" ht="16.5" hidden="1" customHeight="1">
      <c r="A299" s="1">
        <v>-9.9889055752388888E-3</v>
      </c>
      <c r="B299" s="1">
        <v>0.25938306232968544</v>
      </c>
      <c r="C299" s="1">
        <v>-0.15149859544115149</v>
      </c>
      <c r="D299" s="1">
        <v>-1.4103110715583324E-2</v>
      </c>
      <c r="E299" s="1">
        <v>-1.9221308758316666E-2</v>
      </c>
    </row>
    <row r="300" spans="1:5" ht="16.5" hidden="1" customHeight="1">
      <c r="A300" s="1">
        <v>-5.1535785099155441E-2</v>
      </c>
      <c r="B300" s="1">
        <v>-0.15149859544115149</v>
      </c>
      <c r="C300" s="1">
        <v>0.37397623462605972</v>
      </c>
      <c r="D300" s="1">
        <v>-7.2762213797432626E-2</v>
      </c>
      <c r="E300" s="1">
        <v>-9.9168545546035297E-2</v>
      </c>
    </row>
    <row r="301" spans="1:5" ht="16.5" hidden="1" customHeight="1">
      <c r="A301" s="1">
        <v>-4.7975024517651361E-3</v>
      </c>
      <c r="B301" s="1">
        <v>-1.4103110715583326E-2</v>
      </c>
      <c r="C301" s="1">
        <v>-7.2762213797432626E-2</v>
      </c>
      <c r="D301" s="1">
        <v>0.23828186435194523</v>
      </c>
      <c r="E301" s="1">
        <v>-9.2316695957908833E-3</v>
      </c>
    </row>
    <row r="302" spans="1:5" ht="16.5" hidden="1" customHeight="1">
      <c r="A302" s="1">
        <v>-6.5385770383456021E-3</v>
      </c>
      <c r="B302" s="1">
        <v>-1.9221308758316669E-2</v>
      </c>
      <c r="C302" s="1">
        <v>-9.9168545546035283E-2</v>
      </c>
      <c r="D302" s="1">
        <v>-9.2316695957908868E-3</v>
      </c>
      <c r="E302" s="1">
        <v>0.24910265835234907</v>
      </c>
    </row>
    <row r="303" spans="1:5" ht="16.5" hidden="1" customHeight="1">
      <c r="A303" s="1" t="s">
        <v>40</v>
      </c>
    </row>
    <row r="304" spans="1:5" ht="16.5" hidden="1" customHeight="1">
      <c r="A304" s="1" t="e">
        <f t="array" ref="A304:E308">MMULT(A80:E84,A298:E302)</f>
        <v>#VALUE!</v>
      </c>
      <c r="B304" s="1" t="e">
        <v>#VALUE!</v>
      </c>
      <c r="C304" s="1" t="e">
        <v>#VALUE!</v>
      </c>
      <c r="D304" s="1" t="e">
        <v>#VALUE!</v>
      </c>
      <c r="E304" s="1" t="e">
        <v>#VALUE!</v>
      </c>
    </row>
    <row r="305" spans="1:5" ht="16.5" hidden="1" customHeight="1">
      <c r="A305" s="1" t="e">
        <v>#VALUE!</v>
      </c>
      <c r="B305" s="1" t="e">
        <v>#VALUE!</v>
      </c>
      <c r="C305" s="1" t="e">
        <v>#VALUE!</v>
      </c>
      <c r="D305" s="1" t="e">
        <v>#VALUE!</v>
      </c>
      <c r="E305" s="1" t="e">
        <v>#VALUE!</v>
      </c>
    </row>
    <row r="306" spans="1:5" ht="16.5" hidden="1" customHeight="1">
      <c r="A306" s="1" t="e">
        <v>#VALUE!</v>
      </c>
      <c r="B306" s="1" t="e">
        <v>#VALUE!</v>
      </c>
      <c r="C306" s="1" t="e">
        <v>#VALUE!</v>
      </c>
      <c r="D306" s="1" t="e">
        <v>#VALUE!</v>
      </c>
      <c r="E306" s="1" t="e">
        <v>#VALUE!</v>
      </c>
    </row>
    <row r="307" spans="1:5" ht="16.5" hidden="1" customHeight="1">
      <c r="A307" s="1" t="e">
        <v>#VALUE!</v>
      </c>
      <c r="B307" s="1" t="e">
        <v>#VALUE!</v>
      </c>
      <c r="C307" s="1" t="e">
        <v>#VALUE!</v>
      </c>
      <c r="D307" s="1" t="e">
        <v>#VALUE!</v>
      </c>
      <c r="E307" s="1" t="e">
        <v>#VALUE!</v>
      </c>
    </row>
    <row r="308" spans="1:5" ht="16.5" hidden="1" customHeight="1">
      <c r="A308" s="1" t="e">
        <v>#VALUE!</v>
      </c>
      <c r="B308" s="1" t="e">
        <v>#VALUE!</v>
      </c>
      <c r="C308" s="1" t="e">
        <v>#VALUE!</v>
      </c>
      <c r="D308" s="1" t="e">
        <v>#VALUE!</v>
      </c>
      <c r="E308" s="1" t="e">
        <v>#VALUE!</v>
      </c>
    </row>
    <row r="309" spans="1:5" ht="16.5" hidden="1" customHeight="1">
      <c r="A309" s="1" t="s">
        <v>41</v>
      </c>
    </row>
    <row r="310" spans="1:5" ht="16.5" hidden="1" customHeight="1">
      <c r="A310" s="1" t="e">
        <f>LN(MDETERM(A292:E296))+SUM(A304,B305,C306,D307,E308)-LN(MDETERM(A80:E84))-5</f>
        <v>#VALUE!</v>
      </c>
    </row>
    <row r="311" spans="1:5" ht="16.5" hidden="1" customHeight="1">
      <c r="A311" s="1" t="e">
        <f>MIN($A$310)</f>
        <v>#VALUE!</v>
      </c>
    </row>
    <row r="312" spans="1:5" ht="16.5" hidden="1" customHeight="1">
      <c r="A312" s="1">
        <f>COUNT($A$284,$A$285,$A$286,$A$287,$A$288,$B$284,$B$285,$B$286,$B$287,$B$288)</f>
        <v>10</v>
      </c>
    </row>
    <row r="313" spans="1:5" ht="16.5" hidden="1" customHeight="1">
      <c r="A313" s="1">
        <f>{32767,32767,0.000001,0.01,FALSE,FALSE,TRUE,1,1,1,0.0001,TRUE}</f>
        <v>32767</v>
      </c>
    </row>
    <row r="314" spans="1:5" ht="16.5" hidden="1" customHeight="1">
      <c r="A314" s="1">
        <f>{0,0,1,100,0,FALSE,TRUE,0.075,0,0,FALSE,30}</f>
        <v>0</v>
      </c>
    </row>
    <row r="315" spans="1:5" ht="16.5" hidden="1" customHeight="1">
      <c r="A315" s="1">
        <f>{0,0,1,100,0,FALSE,TRUE,0.075,0,0,FALSE,30}</f>
        <v>0</v>
      </c>
    </row>
    <row r="316" spans="1:5" ht="16.5" hidden="1" customHeight="1">
      <c r="A316" s="1" t="s">
        <v>50</v>
      </c>
    </row>
    <row r="317" spans="1:5" ht="16.5" hidden="1" customHeight="1">
      <c r="A317" s="1" t="s">
        <v>51</v>
      </c>
      <c r="B317" s="1" t="s">
        <v>52</v>
      </c>
      <c r="C317" s="1" t="s">
        <v>53</v>
      </c>
      <c r="D317" s="1">
        <v>1.4494166332557181</v>
      </c>
    </row>
    <row r="318" spans="1:5" ht="16.5" hidden="1" customHeight="1">
      <c r="A318" s="1">
        <f>D$317</f>
        <v>1.4494166332557181</v>
      </c>
      <c r="B318" s="1">
        <v>5.6544116229940231</v>
      </c>
    </row>
    <row r="319" spans="1:5" ht="16.5" hidden="1" customHeight="1">
      <c r="A319" s="1">
        <f t="shared" ref="A319:A322" si="18">D$317</f>
        <v>1.4494166332557181</v>
      </c>
      <c r="B319" s="1">
        <v>3.5288239499122565</v>
      </c>
    </row>
    <row r="320" spans="1:5" ht="16.5" hidden="1" customHeight="1">
      <c r="A320" s="1">
        <f t="shared" si="18"/>
        <v>1.4494166332557181</v>
      </c>
      <c r="B320" s="1">
        <v>2.4035588403705006</v>
      </c>
    </row>
    <row r="321" spans="1:5" ht="16.5" hidden="1" customHeight="1">
      <c r="A321" s="1">
        <f t="shared" si="18"/>
        <v>1.4494166332557181</v>
      </c>
      <c r="B321" s="1">
        <v>3.776657688650098</v>
      </c>
    </row>
    <row r="322" spans="1:5" ht="16.5" hidden="1" customHeight="1">
      <c r="A322" s="1">
        <f t="shared" si="18"/>
        <v>1.4494166332557181</v>
      </c>
      <c r="B322" s="1">
        <v>3.6384925080232571</v>
      </c>
    </row>
    <row r="323" spans="1:5" ht="16.5" hidden="1" customHeight="1">
      <c r="A323" s="1" t="s">
        <v>48</v>
      </c>
    </row>
    <row r="324" spans="1:5" ht="16.5" hidden="1" customHeight="1">
      <c r="A324" s="1">
        <f t="array" ref="A324:E324">TRANSPOSE(A318:A322)</f>
        <v>1.4494166332557181</v>
      </c>
      <c r="B324" s="1">
        <v>1.4494166332557181</v>
      </c>
      <c r="C324" s="1">
        <v>1.4494166332557181</v>
      </c>
      <c r="D324" s="1">
        <v>1.4494166332557181</v>
      </c>
      <c r="E324" s="1">
        <v>1.4494166332557181</v>
      </c>
    </row>
    <row r="325" spans="1:5" ht="16.5" hidden="1" customHeight="1">
      <c r="A325" s="1" t="s">
        <v>38</v>
      </c>
    </row>
    <row r="326" spans="1:5" ht="16.5" hidden="1" customHeight="1">
      <c r="A326" s="1">
        <f>$A318*A$324+B318</f>
        <v>7.7552201997523635</v>
      </c>
      <c r="B326" s="1">
        <f t="shared" ref="B326:E326" si="19">$A318*B$324</f>
        <v>2.1008085767583409</v>
      </c>
      <c r="C326" s="1">
        <f t="shared" si="19"/>
        <v>2.1008085767583409</v>
      </c>
      <c r="D326" s="1">
        <f t="shared" si="19"/>
        <v>2.1008085767583409</v>
      </c>
      <c r="E326" s="1">
        <f t="shared" si="19"/>
        <v>2.1008085767583409</v>
      </c>
    </row>
    <row r="327" spans="1:5" ht="16.5" hidden="1" customHeight="1">
      <c r="A327" s="1">
        <f t="shared" ref="A327:E330" si="20">$A319*A$324</f>
        <v>2.1008085767583409</v>
      </c>
      <c r="B327" s="1">
        <f>$A319*B$324+B319</f>
        <v>5.6296325266705978</v>
      </c>
      <c r="C327" s="1">
        <f t="shared" si="20"/>
        <v>2.1008085767583409</v>
      </c>
      <c r="D327" s="1">
        <f t="shared" si="20"/>
        <v>2.1008085767583409</v>
      </c>
      <c r="E327" s="1">
        <f t="shared" si="20"/>
        <v>2.1008085767583409</v>
      </c>
    </row>
    <row r="328" spans="1:5" ht="16.5" hidden="1" customHeight="1">
      <c r="A328" s="1">
        <f t="shared" si="20"/>
        <v>2.1008085767583409</v>
      </c>
      <c r="B328" s="1">
        <f t="shared" si="20"/>
        <v>2.1008085767583409</v>
      </c>
      <c r="C328" s="1">
        <f>$A320*C$324+B320</f>
        <v>4.5043674171288419</v>
      </c>
      <c r="D328" s="1">
        <f t="shared" si="20"/>
        <v>2.1008085767583409</v>
      </c>
      <c r="E328" s="1">
        <f t="shared" si="20"/>
        <v>2.1008085767583409</v>
      </c>
    </row>
    <row r="329" spans="1:5" ht="16.5" hidden="1" customHeight="1">
      <c r="A329" s="1">
        <f t="shared" si="20"/>
        <v>2.1008085767583409</v>
      </c>
      <c r="B329" s="1">
        <f t="shared" si="20"/>
        <v>2.1008085767583409</v>
      </c>
      <c r="C329" s="1">
        <f t="shared" si="20"/>
        <v>2.1008085767583409</v>
      </c>
      <c r="D329" s="1">
        <f>$A321*D$324+B321</f>
        <v>5.8774662654084384</v>
      </c>
      <c r="E329" s="1">
        <f t="shared" si="20"/>
        <v>2.1008085767583409</v>
      </c>
    </row>
    <row r="330" spans="1:5" ht="16.5" hidden="1" customHeight="1">
      <c r="A330" s="1">
        <f t="shared" si="20"/>
        <v>2.1008085767583409</v>
      </c>
      <c r="B330" s="1">
        <f t="shared" si="20"/>
        <v>2.1008085767583409</v>
      </c>
      <c r="C330" s="1">
        <f t="shared" si="20"/>
        <v>2.1008085767583409</v>
      </c>
      <c r="D330" s="1">
        <f t="shared" si="20"/>
        <v>2.1008085767583409</v>
      </c>
      <c r="E330" s="1">
        <f>$A322*E$324+B322</f>
        <v>5.739301084781598</v>
      </c>
    </row>
    <row r="331" spans="1:5" ht="16.5" hidden="1" customHeight="1">
      <c r="A331" s="1" t="s">
        <v>39</v>
      </c>
    </row>
    <row r="332" spans="1:5" ht="16.5" hidden="1" customHeight="1">
      <c r="A332" s="1">
        <f t="array" ref="A332:E336">MINVERSE(A326:E330)</f>
        <v>0.16032112235454224</v>
      </c>
      <c r="B332" s="1">
        <v>-2.6489953501181E-2</v>
      </c>
      <c r="C332" s="1">
        <v>-3.8891655480595658E-2</v>
      </c>
      <c r="D332" s="1">
        <v>-2.4751616390322587E-2</v>
      </c>
      <c r="E332" s="1">
        <v>-2.5691514312836956E-2</v>
      </c>
    </row>
    <row r="333" spans="1:5" ht="16.5" hidden="1" customHeight="1">
      <c r="A333" s="1">
        <v>-2.6489953501181E-2</v>
      </c>
      <c r="B333" s="1">
        <v>0.24093434841131453</v>
      </c>
      <c r="C333" s="1">
        <v>-6.2318050406687836E-2</v>
      </c>
      <c r="D333" s="1">
        <v>-3.9660756499005648E-2</v>
      </c>
      <c r="E333" s="1">
        <v>-4.1166802086126934E-2</v>
      </c>
    </row>
    <row r="334" spans="1:5" ht="16.5" hidden="1" customHeight="1">
      <c r="A334" s="1">
        <v>-3.8891655480595672E-2</v>
      </c>
      <c r="B334" s="1">
        <v>-6.2318050406687815E-2</v>
      </c>
      <c r="C334" s="1">
        <v>0.32455646939468819</v>
      </c>
      <c r="D334" s="1">
        <v>-5.8228583821045794E-2</v>
      </c>
      <c r="E334" s="1">
        <v>-6.0439709110857304E-2</v>
      </c>
    </row>
    <row r="335" spans="1:5" ht="16.5" hidden="1" customHeight="1">
      <c r="A335" s="1">
        <v>-2.4751616390322584E-2</v>
      </c>
      <c r="B335" s="1">
        <v>-3.9660756499005648E-2</v>
      </c>
      <c r="C335" s="1">
        <v>-5.8228583821045808E-2</v>
      </c>
      <c r="D335" s="1">
        <v>0.22772627108338189</v>
      </c>
      <c r="E335" s="1">
        <v>-3.846533340297173E-2</v>
      </c>
    </row>
    <row r="336" spans="1:5" ht="16.5" hidden="1" customHeight="1">
      <c r="A336" s="1">
        <v>-2.5691514312836963E-2</v>
      </c>
      <c r="B336" s="1">
        <v>-4.116680208612692E-2</v>
      </c>
      <c r="C336" s="1">
        <v>-6.0439709110857311E-2</v>
      </c>
      <c r="D336" s="1">
        <v>-3.846533340297173E-2</v>
      </c>
      <c r="E336" s="1">
        <v>0.23491311332163228</v>
      </c>
    </row>
    <row r="337" spans="1:5" ht="16.5" hidden="1" customHeight="1">
      <c r="A337" s="1" t="s">
        <v>54</v>
      </c>
    </row>
    <row r="338" spans="1:5" ht="16.5" hidden="1" customHeight="1">
      <c r="A338" s="1" t="e">
        <f t="array" ref="A338:E342">MMULT(A80:E84,A332:E336)</f>
        <v>#VALUE!</v>
      </c>
      <c r="B338" s="1" t="e">
        <v>#VALUE!</v>
      </c>
      <c r="C338" s="1" t="e">
        <v>#VALUE!</v>
      </c>
      <c r="D338" s="1" t="e">
        <v>#VALUE!</v>
      </c>
      <c r="E338" s="1" t="e">
        <v>#VALUE!</v>
      </c>
    </row>
    <row r="339" spans="1:5" ht="16.5" hidden="1" customHeight="1">
      <c r="A339" s="1" t="e">
        <v>#VALUE!</v>
      </c>
      <c r="B339" s="1" t="e">
        <v>#VALUE!</v>
      </c>
      <c r="C339" s="1" t="e">
        <v>#VALUE!</v>
      </c>
      <c r="D339" s="1" t="e">
        <v>#VALUE!</v>
      </c>
      <c r="E339" s="1" t="e">
        <v>#VALUE!</v>
      </c>
    </row>
    <row r="340" spans="1:5" ht="16.5" hidden="1" customHeight="1">
      <c r="A340" s="1" t="e">
        <v>#VALUE!</v>
      </c>
      <c r="B340" s="1" t="e">
        <v>#VALUE!</v>
      </c>
      <c r="C340" s="1" t="e">
        <v>#VALUE!</v>
      </c>
      <c r="D340" s="1" t="e">
        <v>#VALUE!</v>
      </c>
      <c r="E340" s="1" t="e">
        <v>#VALUE!</v>
      </c>
    </row>
    <row r="341" spans="1:5" ht="16.5" hidden="1" customHeight="1">
      <c r="A341" s="1" t="e">
        <v>#VALUE!</v>
      </c>
      <c r="B341" s="1" t="e">
        <v>#VALUE!</v>
      </c>
      <c r="C341" s="1" t="e">
        <v>#VALUE!</v>
      </c>
      <c r="D341" s="1" t="e">
        <v>#VALUE!</v>
      </c>
      <c r="E341" s="1" t="e">
        <v>#VALUE!</v>
      </c>
    </row>
    <row r="342" spans="1:5" ht="16.5" hidden="1" customHeight="1">
      <c r="A342" s="1" t="e">
        <v>#VALUE!</v>
      </c>
      <c r="B342" s="1" t="e">
        <v>#VALUE!</v>
      </c>
      <c r="C342" s="1" t="e">
        <v>#VALUE!</v>
      </c>
      <c r="D342" s="1" t="e">
        <v>#VALUE!</v>
      </c>
      <c r="E342" s="1" t="e">
        <v>#VALUE!</v>
      </c>
    </row>
    <row r="343" spans="1:5" ht="16.5" hidden="1" customHeight="1">
      <c r="A343" s="1" t="s">
        <v>41</v>
      </c>
    </row>
    <row r="344" spans="1:5" ht="16.5" hidden="1" customHeight="1">
      <c r="A344" s="1" t="e">
        <f>LN(MDETERM(A326:E330))+SUM(A338,B339,C340,D341,E342)-LN(MDETERM(A80:E84))-5</f>
        <v>#VALUE!</v>
      </c>
    </row>
    <row r="345" spans="1:5" ht="16.5" hidden="1" customHeight="1">
      <c r="A345" s="1" t="e">
        <f>MIN($A$344)</f>
        <v>#VALUE!</v>
      </c>
    </row>
    <row r="346" spans="1:5" ht="16.5" hidden="1" customHeight="1">
      <c r="A346" s="1">
        <f>COUNT($B$318,$B$319,$B$320,$B$321,$B$322,$D$317)</f>
        <v>6</v>
      </c>
    </row>
    <row r="347" spans="1:5" ht="16.5" hidden="1" customHeight="1">
      <c r="A347" s="1">
        <f>{32767,32767,0.000001,0.01,FALSE,FALSE,TRUE,1,1,1,0.0001,TRUE}</f>
        <v>32767</v>
      </c>
    </row>
    <row r="348" spans="1:5" ht="16.5" hidden="1" customHeight="1">
      <c r="A348" s="1">
        <f>{0,0,1,100,0,FALSE,TRUE,0.075,0,0,FALSE,30}</f>
        <v>0</v>
      </c>
    </row>
    <row r="349" spans="1:5" ht="16.5" hidden="1" customHeight="1">
      <c r="A349" s="1" t="s">
        <v>50</v>
      </c>
    </row>
    <row r="350" spans="1:5" ht="16.5" hidden="1" customHeight="1">
      <c r="A350" s="1" t="s">
        <v>45</v>
      </c>
      <c r="B350" s="1" t="s">
        <v>46</v>
      </c>
      <c r="C350" s="1" t="s">
        <v>53</v>
      </c>
      <c r="D350" s="1">
        <v>1.3494422208754662</v>
      </c>
    </row>
    <row r="351" spans="1:5" ht="16.5" hidden="1" customHeight="1">
      <c r="A351" s="1">
        <f>D$350</f>
        <v>1.3494422208754662</v>
      </c>
      <c r="B351" s="1">
        <f>D$351</f>
        <v>3.884999309636985</v>
      </c>
      <c r="C351" s="1" t="s">
        <v>47</v>
      </c>
      <c r="D351" s="1">
        <v>3.884999309636985</v>
      </c>
    </row>
    <row r="352" spans="1:5" ht="16.5" hidden="1" customHeight="1">
      <c r="A352" s="1">
        <f t="shared" ref="A352:A355" si="21">D$350</f>
        <v>1.3494422208754662</v>
      </c>
      <c r="B352" s="1">
        <f t="shared" ref="B352:B355" si="22">D$351</f>
        <v>3.884999309636985</v>
      </c>
    </row>
    <row r="353" spans="1:5" ht="16.5" hidden="1" customHeight="1">
      <c r="A353" s="1">
        <f t="shared" si="21"/>
        <v>1.3494422208754662</v>
      </c>
      <c r="B353" s="1">
        <f t="shared" si="22"/>
        <v>3.884999309636985</v>
      </c>
    </row>
    <row r="354" spans="1:5" ht="16.5" hidden="1" customHeight="1">
      <c r="A354" s="1">
        <f t="shared" si="21"/>
        <v>1.3494422208754662</v>
      </c>
      <c r="B354" s="1">
        <f t="shared" si="22"/>
        <v>3.884999309636985</v>
      </c>
    </row>
    <row r="355" spans="1:5" ht="16.5" hidden="1" customHeight="1">
      <c r="A355" s="1">
        <f t="shared" si="21"/>
        <v>1.3494422208754662</v>
      </c>
      <c r="B355" s="1">
        <f t="shared" si="22"/>
        <v>3.884999309636985</v>
      </c>
    </row>
    <row r="356" spans="1:5" ht="16.5" hidden="1" customHeight="1">
      <c r="A356" s="1" t="s">
        <v>48</v>
      </c>
    </row>
    <row r="357" spans="1:5" ht="16.5" hidden="1" customHeight="1">
      <c r="A357" s="1">
        <f t="array" ref="A357:E357">TRANSPOSE(A351:A355)</f>
        <v>1.3494422208754662</v>
      </c>
      <c r="B357" s="1">
        <v>1.3494422208754662</v>
      </c>
      <c r="C357" s="1">
        <v>1.3494422208754662</v>
      </c>
      <c r="D357" s="1">
        <v>1.3494422208754662</v>
      </c>
      <c r="E357" s="1">
        <v>1.3494422208754662</v>
      </c>
    </row>
    <row r="358" spans="1:5" ht="16.5" hidden="1" customHeight="1">
      <c r="A358" s="1" t="s">
        <v>38</v>
      </c>
    </row>
    <row r="359" spans="1:5" ht="16.5" hidden="1" customHeight="1">
      <c r="A359" s="1">
        <f>$A351*A$357+B351</f>
        <v>5.7059936171182954</v>
      </c>
      <c r="B359" s="1">
        <f t="shared" ref="B359:E359" si="23">$A351*B$357</f>
        <v>1.8209943074813104</v>
      </c>
      <c r="C359" s="1">
        <f t="shared" si="23"/>
        <v>1.8209943074813104</v>
      </c>
      <c r="D359" s="1">
        <f t="shared" si="23"/>
        <v>1.8209943074813104</v>
      </c>
      <c r="E359" s="1">
        <f t="shared" si="23"/>
        <v>1.8209943074813104</v>
      </c>
    </row>
    <row r="360" spans="1:5" ht="16.5" hidden="1" customHeight="1">
      <c r="A360" s="1">
        <f t="shared" ref="A360:E360" si="24">$A352*A$357</f>
        <v>1.8209943074813104</v>
      </c>
      <c r="B360" s="1">
        <f>$A352*B$357+B352</f>
        <v>5.7059936171182954</v>
      </c>
      <c r="C360" s="1">
        <f t="shared" si="24"/>
        <v>1.8209943074813104</v>
      </c>
      <c r="D360" s="1">
        <f t="shared" si="24"/>
        <v>1.8209943074813104</v>
      </c>
      <c r="E360" s="1">
        <f t="shared" si="24"/>
        <v>1.8209943074813104</v>
      </c>
    </row>
    <row r="361" spans="1:5" ht="16.5" hidden="1" customHeight="1">
      <c r="A361" s="1">
        <f t="shared" ref="A361:E361" si="25">$A353*A$357</f>
        <v>1.8209943074813104</v>
      </c>
      <c r="B361" s="1">
        <f t="shared" si="25"/>
        <v>1.8209943074813104</v>
      </c>
      <c r="C361" s="1">
        <f>$A353*C$357+B353</f>
        <v>5.7059936171182954</v>
      </c>
      <c r="D361" s="1">
        <f t="shared" si="25"/>
        <v>1.8209943074813104</v>
      </c>
      <c r="E361" s="1">
        <f t="shared" si="25"/>
        <v>1.8209943074813104</v>
      </c>
    </row>
    <row r="362" spans="1:5" ht="16.5" hidden="1" customHeight="1">
      <c r="A362" s="1">
        <f t="shared" ref="A362:E362" si="26">$A354*A$357</f>
        <v>1.8209943074813104</v>
      </c>
      <c r="B362" s="1">
        <f t="shared" si="26"/>
        <v>1.8209943074813104</v>
      </c>
      <c r="C362" s="1">
        <f t="shared" si="26"/>
        <v>1.8209943074813104</v>
      </c>
      <c r="D362" s="1">
        <f>$A354*D$357+B354</f>
        <v>5.7059936171182954</v>
      </c>
      <c r="E362" s="1">
        <f t="shared" si="26"/>
        <v>1.8209943074813104</v>
      </c>
    </row>
    <row r="363" spans="1:5" ht="16.5" hidden="1" customHeight="1">
      <c r="A363" s="1">
        <f t="shared" ref="A363:D363" si="27">$A355*A$357</f>
        <v>1.8209943074813104</v>
      </c>
      <c r="B363" s="1">
        <f t="shared" si="27"/>
        <v>1.8209943074813104</v>
      </c>
      <c r="C363" s="1">
        <f t="shared" si="27"/>
        <v>1.8209943074813104</v>
      </c>
      <c r="D363" s="1">
        <f t="shared" si="27"/>
        <v>1.8209943074813104</v>
      </c>
      <c r="E363" s="1">
        <f>$A355*E$357+B355</f>
        <v>5.7059936171182954</v>
      </c>
    </row>
    <row r="364" spans="1:5" ht="16.5" hidden="1" customHeight="1">
      <c r="A364" s="1" t="s">
        <v>39</v>
      </c>
    </row>
    <row r="365" spans="1:5" ht="16.5" hidden="1" customHeight="1">
      <c r="A365" s="1">
        <f t="array" ref="A365:E369">MINVERSE(A359:E363)</f>
        <v>0.22131673588038375</v>
      </c>
      <c r="B365" s="1">
        <v>-3.6083567259809088E-2</v>
      </c>
      <c r="C365" s="1">
        <v>-3.6083567259809109E-2</v>
      </c>
      <c r="D365" s="1">
        <v>-3.6083567259809095E-2</v>
      </c>
      <c r="E365" s="1">
        <v>-3.6083567259809095E-2</v>
      </c>
    </row>
    <row r="366" spans="1:5" ht="16.5" hidden="1" customHeight="1">
      <c r="A366" s="1">
        <v>-3.6083567259809109E-2</v>
      </c>
      <c r="B366" s="1">
        <v>0.2213167358803837</v>
      </c>
      <c r="C366" s="1">
        <v>-3.6083567259809095E-2</v>
      </c>
      <c r="D366" s="1">
        <v>-3.6083567259809109E-2</v>
      </c>
      <c r="E366" s="1">
        <v>-3.6083567259809109E-2</v>
      </c>
    </row>
    <row r="367" spans="1:5" ht="16.5" hidden="1" customHeight="1">
      <c r="A367" s="1">
        <v>-3.6083567259809095E-2</v>
      </c>
      <c r="B367" s="1">
        <v>-3.6083567259809102E-2</v>
      </c>
      <c r="C367" s="1">
        <v>0.22131673588038375</v>
      </c>
      <c r="D367" s="1">
        <v>-3.6083567259809109E-2</v>
      </c>
      <c r="E367" s="1">
        <v>-3.6083567259809109E-2</v>
      </c>
    </row>
    <row r="368" spans="1:5" ht="16.5" hidden="1" customHeight="1">
      <c r="A368" s="1">
        <v>-3.6083567259809109E-2</v>
      </c>
      <c r="B368" s="1">
        <v>-3.6083567259809102E-2</v>
      </c>
      <c r="C368" s="1">
        <v>-3.6083567259809109E-2</v>
      </c>
      <c r="D368" s="1">
        <v>0.22131673588038378</v>
      </c>
      <c r="E368" s="1">
        <v>-3.6083567259809109E-2</v>
      </c>
    </row>
    <row r="369" spans="1:5" ht="16.5" hidden="1" customHeight="1">
      <c r="A369" s="1">
        <v>-3.6083567259809102E-2</v>
      </c>
      <c r="B369" s="1">
        <v>-3.6083567259809095E-2</v>
      </c>
      <c r="C369" s="1">
        <v>-3.6083567259809109E-2</v>
      </c>
      <c r="D369" s="1">
        <v>-3.6083567259809109E-2</v>
      </c>
      <c r="E369" s="1">
        <v>0.22131673588038378</v>
      </c>
    </row>
    <row r="370" spans="1:5" ht="16.5" hidden="1" customHeight="1">
      <c r="A370" s="1" t="s">
        <v>54</v>
      </c>
    </row>
    <row r="371" spans="1:5" ht="16.5" hidden="1" customHeight="1">
      <c r="A371" s="1" t="e">
        <f t="array" ref="A371:E375">MMULT(A80:E84,A365:E369)</f>
        <v>#VALUE!</v>
      </c>
      <c r="B371" s="1" t="e">
        <v>#VALUE!</v>
      </c>
      <c r="C371" s="1" t="e">
        <v>#VALUE!</v>
      </c>
      <c r="D371" s="1" t="e">
        <v>#VALUE!</v>
      </c>
      <c r="E371" s="1" t="e">
        <v>#VALUE!</v>
      </c>
    </row>
    <row r="372" spans="1:5" ht="16.5" hidden="1" customHeight="1">
      <c r="A372" s="1" t="e">
        <v>#VALUE!</v>
      </c>
      <c r="B372" s="1" t="e">
        <v>#VALUE!</v>
      </c>
      <c r="C372" s="1" t="e">
        <v>#VALUE!</v>
      </c>
      <c r="D372" s="1" t="e">
        <v>#VALUE!</v>
      </c>
      <c r="E372" s="1" t="e">
        <v>#VALUE!</v>
      </c>
    </row>
    <row r="373" spans="1:5" ht="16.5" hidden="1" customHeight="1">
      <c r="A373" s="1" t="e">
        <v>#VALUE!</v>
      </c>
      <c r="B373" s="1" t="e">
        <v>#VALUE!</v>
      </c>
      <c r="C373" s="1" t="e">
        <v>#VALUE!</v>
      </c>
      <c r="D373" s="1" t="e">
        <v>#VALUE!</v>
      </c>
      <c r="E373" s="1" t="e">
        <v>#VALUE!</v>
      </c>
    </row>
    <row r="374" spans="1:5" ht="16.5" hidden="1" customHeight="1">
      <c r="A374" s="1" t="e">
        <v>#VALUE!</v>
      </c>
      <c r="B374" s="1" t="e">
        <v>#VALUE!</v>
      </c>
      <c r="C374" s="1" t="e">
        <v>#VALUE!</v>
      </c>
      <c r="D374" s="1" t="e">
        <v>#VALUE!</v>
      </c>
      <c r="E374" s="1" t="e">
        <v>#VALUE!</v>
      </c>
    </row>
    <row r="375" spans="1:5" ht="16.5" hidden="1" customHeight="1">
      <c r="A375" s="1" t="e">
        <v>#VALUE!</v>
      </c>
      <c r="B375" s="1" t="e">
        <v>#VALUE!</v>
      </c>
      <c r="C375" s="1" t="e">
        <v>#VALUE!</v>
      </c>
      <c r="D375" s="1" t="e">
        <v>#VALUE!</v>
      </c>
      <c r="E375" s="1" t="e">
        <v>#VALUE!</v>
      </c>
    </row>
    <row r="376" spans="1:5" ht="16.5" hidden="1" customHeight="1">
      <c r="A376" s="1" t="s">
        <v>41</v>
      </c>
    </row>
    <row r="377" spans="1:5" ht="16.5" hidden="1" customHeight="1">
      <c r="A377" s="1" t="e">
        <f>LN(MDETERM(A359:E363))+SUM(A371,B372,C373,D374,E375)-LN(MDETERM(A80:E84))-5</f>
        <v>#VALUE!</v>
      </c>
    </row>
    <row r="378" spans="1:5" ht="16.5" hidden="1" customHeight="1">
      <c r="A378" s="1" t="e">
        <f>MIN($A$377)</f>
        <v>#VALUE!</v>
      </c>
    </row>
    <row r="379" spans="1:5" ht="16.5" hidden="1" customHeight="1">
      <c r="A379" s="1">
        <f>COUNT($D$350,$D$351)</f>
        <v>2</v>
      </c>
    </row>
    <row r="380" spans="1:5" ht="16.5" hidden="1" customHeight="1">
      <c r="A380" s="1">
        <f>{32767,32767,0.000001,0.01,FALSE,FALSE,TRUE,1,1,1,0.0001,TRUE}</f>
        <v>32767</v>
      </c>
    </row>
    <row r="381" spans="1:5" ht="16.5" hidden="1" customHeight="1">
      <c r="A381" s="1">
        <f>{0,0,1,100,0,FALSE,TRUE,0.075,0,0,FALSE,30}</f>
        <v>0</v>
      </c>
    </row>
    <row r="382" spans="1:5" ht="16.5" hidden="1" customHeight="1">
      <c r="A382" s="1" t="s">
        <v>50</v>
      </c>
    </row>
    <row r="383" spans="1:5" ht="16.5" hidden="1" customHeight="1">
      <c r="A383" s="1" t="s">
        <v>49</v>
      </c>
    </row>
    <row r="384" spans="1:5" ht="16.5" hidden="1" customHeight="1">
      <c r="A384" s="1">
        <f>A80</f>
        <v>10</v>
      </c>
      <c r="B384" s="1">
        <v>0</v>
      </c>
      <c r="C384" s="1">
        <v>0</v>
      </c>
      <c r="D384" s="1">
        <v>0</v>
      </c>
      <c r="E384" s="1">
        <v>0</v>
      </c>
    </row>
    <row r="385" spans="1:5" ht="16.5" hidden="1" customHeight="1">
      <c r="A385" s="1">
        <v>0</v>
      </c>
      <c r="B385" s="1">
        <f>B81</f>
        <v>11</v>
      </c>
      <c r="C385" s="1">
        <v>0</v>
      </c>
      <c r="D385" s="1">
        <v>0</v>
      </c>
      <c r="E385" s="1">
        <v>0</v>
      </c>
    </row>
    <row r="386" spans="1:5" ht="16.5" hidden="1" customHeight="1">
      <c r="A386" s="1">
        <v>0</v>
      </c>
      <c r="B386" s="1">
        <v>0</v>
      </c>
      <c r="C386" s="1">
        <f>C82</f>
        <v>12</v>
      </c>
      <c r="D386" s="1">
        <v>0</v>
      </c>
      <c r="E386" s="1">
        <v>0</v>
      </c>
    </row>
    <row r="387" spans="1:5" ht="16.5" hidden="1" customHeight="1">
      <c r="A387" s="1">
        <v>0</v>
      </c>
      <c r="B387" s="1">
        <v>0</v>
      </c>
      <c r="C387" s="1">
        <v>0</v>
      </c>
      <c r="D387" s="1">
        <f>D83</f>
        <v>0</v>
      </c>
      <c r="E387" s="1">
        <v>0</v>
      </c>
    </row>
    <row r="388" spans="1:5" ht="16.5" hidden="1" customHeight="1">
      <c r="A388" s="1">
        <v>0</v>
      </c>
      <c r="B388" s="1">
        <v>0</v>
      </c>
      <c r="C388" s="1">
        <v>0</v>
      </c>
      <c r="D388" s="1">
        <v>0</v>
      </c>
      <c r="E388" s="1">
        <f>E84</f>
        <v>0</v>
      </c>
    </row>
    <row r="389" spans="1:5" ht="16.5" hidden="1" customHeight="1">
      <c r="A389" s="1" t="s">
        <v>39</v>
      </c>
    </row>
    <row r="390" spans="1:5" ht="16.5" hidden="1" customHeight="1">
      <c r="A390" s="1" t="e">
        <f t="array" ref="A390:E394">MINVERSE(A384:E388)</f>
        <v>#NUM!</v>
      </c>
      <c r="B390" s="1" t="e">
        <v>#NUM!</v>
      </c>
      <c r="C390" s="1" t="e">
        <v>#NUM!</v>
      </c>
      <c r="D390" s="1" t="e">
        <v>#NUM!</v>
      </c>
      <c r="E390" s="1" t="e">
        <v>#NUM!</v>
      </c>
    </row>
    <row r="391" spans="1:5" ht="16.5" hidden="1" customHeight="1">
      <c r="A391" s="1" t="e">
        <v>#NUM!</v>
      </c>
      <c r="B391" s="1" t="e">
        <v>#NUM!</v>
      </c>
      <c r="C391" s="1" t="e">
        <v>#NUM!</v>
      </c>
      <c r="D391" s="1" t="e">
        <v>#NUM!</v>
      </c>
      <c r="E391" s="1" t="e">
        <v>#NUM!</v>
      </c>
    </row>
    <row r="392" spans="1:5" ht="16.5" hidden="1" customHeight="1">
      <c r="A392" s="1" t="e">
        <v>#NUM!</v>
      </c>
      <c r="B392" s="1" t="e">
        <v>#NUM!</v>
      </c>
      <c r="C392" s="1" t="e">
        <v>#NUM!</v>
      </c>
      <c r="D392" s="1" t="e">
        <v>#NUM!</v>
      </c>
      <c r="E392" s="1" t="e">
        <v>#NUM!</v>
      </c>
    </row>
    <row r="393" spans="1:5" ht="16.5" hidden="1" customHeight="1">
      <c r="A393" s="1" t="e">
        <v>#NUM!</v>
      </c>
      <c r="B393" s="1" t="e">
        <v>#NUM!</v>
      </c>
      <c r="C393" s="1" t="e">
        <v>#NUM!</v>
      </c>
      <c r="D393" s="1" t="e">
        <v>#NUM!</v>
      </c>
      <c r="E393" s="1" t="e">
        <v>#NUM!</v>
      </c>
    </row>
    <row r="394" spans="1:5" ht="16.5" hidden="1" customHeight="1">
      <c r="A394" s="1" t="e">
        <v>#NUM!</v>
      </c>
      <c r="B394" s="1" t="e">
        <v>#NUM!</v>
      </c>
      <c r="C394" s="1" t="e">
        <v>#NUM!</v>
      </c>
      <c r="D394" s="1" t="e">
        <v>#NUM!</v>
      </c>
      <c r="E394" s="1" t="e">
        <v>#NUM!</v>
      </c>
    </row>
    <row r="395" spans="1:5" ht="16.5" hidden="1" customHeight="1">
      <c r="A395" s="1" t="s">
        <v>54</v>
      </c>
    </row>
    <row r="396" spans="1:5" ht="16.5" hidden="1" customHeight="1">
      <c r="A396" s="1" t="e">
        <f t="array" ref="A396:E400">MMULT(A80:E84,A390:E394)</f>
        <v>#VALUE!</v>
      </c>
      <c r="B396" s="1" t="e">
        <v>#VALUE!</v>
      </c>
      <c r="C396" s="1" t="e">
        <v>#VALUE!</v>
      </c>
      <c r="D396" s="1" t="e">
        <v>#VALUE!</v>
      </c>
      <c r="E396" s="1" t="e">
        <v>#VALUE!</v>
      </c>
    </row>
    <row r="397" spans="1:5" ht="16.5" hidden="1" customHeight="1">
      <c r="A397" s="1" t="e">
        <v>#VALUE!</v>
      </c>
      <c r="B397" s="1" t="e">
        <v>#VALUE!</v>
      </c>
      <c r="C397" s="1" t="e">
        <v>#VALUE!</v>
      </c>
      <c r="D397" s="1" t="e">
        <v>#VALUE!</v>
      </c>
      <c r="E397" s="1" t="e">
        <v>#VALUE!</v>
      </c>
    </row>
    <row r="398" spans="1:5" ht="16.5" hidden="1" customHeight="1">
      <c r="A398" s="1" t="e">
        <v>#VALUE!</v>
      </c>
      <c r="B398" s="1" t="e">
        <v>#VALUE!</v>
      </c>
      <c r="C398" s="1" t="e">
        <v>#VALUE!</v>
      </c>
      <c r="D398" s="1" t="e">
        <v>#VALUE!</v>
      </c>
      <c r="E398" s="1" t="e">
        <v>#VALUE!</v>
      </c>
    </row>
    <row r="399" spans="1:5" ht="16.5" hidden="1" customHeight="1">
      <c r="A399" s="1" t="e">
        <v>#VALUE!</v>
      </c>
      <c r="B399" s="1" t="e">
        <v>#VALUE!</v>
      </c>
      <c r="C399" s="1" t="e">
        <v>#VALUE!</v>
      </c>
      <c r="D399" s="1" t="e">
        <v>#VALUE!</v>
      </c>
      <c r="E399" s="1" t="e">
        <v>#VALUE!</v>
      </c>
    </row>
    <row r="400" spans="1:5" ht="16.5" hidden="1" customHeight="1">
      <c r="A400" s="1" t="e">
        <v>#VALUE!</v>
      </c>
      <c r="B400" s="1" t="e">
        <v>#VALUE!</v>
      </c>
      <c r="C400" s="1" t="e">
        <v>#VALUE!</v>
      </c>
      <c r="D400" s="1" t="e">
        <v>#VALUE!</v>
      </c>
      <c r="E400" s="1" t="e">
        <v>#VALUE!</v>
      </c>
    </row>
    <row r="401" spans="1:6" ht="16.5" hidden="1" customHeight="1">
      <c r="A401" s="1" t="s">
        <v>41</v>
      </c>
    </row>
    <row r="402" spans="1:6" ht="16.5" hidden="1" customHeight="1">
      <c r="A402" s="1" t="e">
        <f>LN(MDETERM(A384:E388))+SUM(A396,B397,C398,D399,E400)-LN(MDETERM(A80:E84))-5</f>
        <v>#NUM!</v>
      </c>
    </row>
    <row r="403" spans="1:6" ht="16.5" hidden="1" customHeight="1">
      <c r="A403" s="1" t="s">
        <v>59</v>
      </c>
    </row>
    <row r="404" spans="1:6" ht="16.5" hidden="1" customHeight="1">
      <c r="A404" s="1" t="s">
        <v>35</v>
      </c>
      <c r="B404" s="1" t="s">
        <v>60</v>
      </c>
    </row>
    <row r="405" spans="1:6" ht="16.5" hidden="1" customHeight="1">
      <c r="A405" s="1">
        <v>2.1043775561513596</v>
      </c>
      <c r="B405" s="1">
        <v>5.5715661769580018</v>
      </c>
    </row>
    <row r="406" spans="1:6" ht="16.5" hidden="1" customHeight="1">
      <c r="A406" s="1">
        <v>2.3983244664756329</v>
      </c>
      <c r="B406" s="1">
        <v>5.2480081356937269</v>
      </c>
    </row>
    <row r="407" spans="1:6" ht="16.5" hidden="1" customHeight="1">
      <c r="A407" s="1">
        <v>2.6908064237600384</v>
      </c>
      <c r="B407" s="1">
        <v>4.7595165796290511</v>
      </c>
    </row>
    <row r="408" spans="1:6" ht="16.5" hidden="1" customHeight="1">
      <c r="A408" s="1">
        <v>3.2035693222864139</v>
      </c>
      <c r="B408" s="1">
        <v>2.7370885134667766</v>
      </c>
    </row>
    <row r="409" spans="1:6" ht="16.5" hidden="1" customHeight="1">
      <c r="A409" s="1">
        <v>1.8561459852220072</v>
      </c>
      <c r="B409" s="1">
        <v>8.5546988597035796</v>
      </c>
    </row>
    <row r="410" spans="1:6" ht="16.5" hidden="1" customHeight="1">
      <c r="A410" s="1">
        <v>1.8424720612181991</v>
      </c>
      <c r="B410" s="1">
        <v>6.605275816648426</v>
      </c>
    </row>
    <row r="411" spans="1:6" ht="16.5" hidden="1" customHeight="1">
      <c r="A411" s="1" t="s">
        <v>37</v>
      </c>
    </row>
    <row r="412" spans="1:6" ht="16.5" hidden="1" customHeight="1">
      <c r="A412" s="1">
        <f t="array" ref="A412:F412">TRANSPOSE(A405:A410)</f>
        <v>2.1043775561513596</v>
      </c>
      <c r="B412" s="1">
        <v>2.3983244664756329</v>
      </c>
      <c r="C412" s="1">
        <v>2.6908064237600384</v>
      </c>
      <c r="D412" s="1">
        <v>3.2035693222864139</v>
      </c>
      <c r="E412" s="1">
        <v>1.8561459852220072</v>
      </c>
      <c r="F412" s="1">
        <v>1.8424720612181991</v>
      </c>
    </row>
    <row r="413" spans="1:6" ht="16.5" hidden="1" customHeight="1">
      <c r="A413" s="1" t="s">
        <v>38</v>
      </c>
    </row>
    <row r="414" spans="1:6" ht="16.5" hidden="1" customHeight="1">
      <c r="A414" s="1">
        <f>$A405*A$412+B405</f>
        <v>9.9999710757915707</v>
      </c>
      <c r="B414" s="1">
        <f t="shared" ref="B414:F414" si="28">$A405*B$412</f>
        <v>5.0469801796200056</v>
      </c>
      <c r="C414" s="1">
        <f t="shared" si="28"/>
        <v>5.6624726461085295</v>
      </c>
      <c r="D414" s="1">
        <f t="shared" si="28"/>
        <v>6.7415193813945509</v>
      </c>
      <c r="E414" s="1">
        <f t="shared" si="28"/>
        <v>3.9060319522416451</v>
      </c>
      <c r="F414" s="1">
        <f t="shared" si="28"/>
        <v>3.8772568534635119</v>
      </c>
    </row>
    <row r="415" spans="1:6" ht="16.5" hidden="1" customHeight="1">
      <c r="A415" s="1">
        <f t="shared" ref="A415:F419" si="29">$A406*A$412</f>
        <v>5.0469801796200056</v>
      </c>
      <c r="B415" s="1">
        <f>$A406*B$412+B406</f>
        <v>10.999968382189357</v>
      </c>
      <c r="C415" s="1">
        <f t="shared" si="29"/>
        <v>6.4534268806534998</v>
      </c>
      <c r="D415" s="1">
        <f t="shared" si="29"/>
        <v>7.6831986856902681</v>
      </c>
      <c r="E415" s="1">
        <f t="shared" si="29"/>
        <v>4.4516403297084581</v>
      </c>
      <c r="F415" s="1">
        <f t="shared" si="29"/>
        <v>4.4188458232173966</v>
      </c>
    </row>
    <row r="416" spans="1:6" ht="16.5" hidden="1" customHeight="1">
      <c r="A416" s="1">
        <f t="shared" si="29"/>
        <v>5.6624726461085295</v>
      </c>
      <c r="B416" s="1">
        <f t="shared" si="29"/>
        <v>6.4534268806534998</v>
      </c>
      <c r="C416" s="1">
        <f>$A407*C$412+B407</f>
        <v>11.999955789777339</v>
      </c>
      <c r="D416" s="1">
        <f t="shared" si="29"/>
        <v>8.6201849113688755</v>
      </c>
      <c r="E416" s="1">
        <f t="shared" si="29"/>
        <v>4.9945295404717829</v>
      </c>
      <c r="F416" s="1">
        <f t="shared" si="29"/>
        <v>4.9577356579243288</v>
      </c>
    </row>
    <row r="417" spans="1:6" ht="16.5" hidden="1" customHeight="1">
      <c r="A417" s="1">
        <f t="shared" si="29"/>
        <v>6.7415193813945509</v>
      </c>
      <c r="B417" s="1">
        <f t="shared" si="29"/>
        <v>7.6831986856902681</v>
      </c>
      <c r="C417" s="1">
        <f t="shared" si="29"/>
        <v>8.6201849113688755</v>
      </c>
      <c r="D417" s="1">
        <f>$A408*D$412+B408</f>
        <v>12.999944916161409</v>
      </c>
      <c r="E417" s="1">
        <f t="shared" si="29"/>
        <v>5.9462923359423137</v>
      </c>
      <c r="F417" s="1">
        <f t="shared" si="29"/>
        <v>5.9024869724884379</v>
      </c>
    </row>
    <row r="418" spans="1:6" ht="16.5" hidden="1" customHeight="1">
      <c r="A418" s="1">
        <f t="shared" si="29"/>
        <v>3.9060319522416451</v>
      </c>
      <c r="B418" s="1">
        <f t="shared" si="29"/>
        <v>4.4516403297084581</v>
      </c>
      <c r="C418" s="1">
        <f t="shared" si="29"/>
        <v>4.9945295404717829</v>
      </c>
      <c r="D418" s="1">
        <f t="shared" si="29"/>
        <v>5.9462923359423137</v>
      </c>
      <c r="E418" s="1">
        <f>$A409*E$412+B409</f>
        <v>11.999976778159356</v>
      </c>
      <c r="F418" s="1">
        <f t="shared" si="29"/>
        <v>3.4198971193138767</v>
      </c>
    </row>
    <row r="419" spans="1:6" ht="16.5" hidden="1" customHeight="1">
      <c r="A419" s="1">
        <f t="shared" si="29"/>
        <v>3.8772568534635119</v>
      </c>
      <c r="B419" s="1">
        <f t="shared" si="29"/>
        <v>4.4188458232173966</v>
      </c>
      <c r="C419" s="1">
        <f t="shared" si="29"/>
        <v>4.9577356579243288</v>
      </c>
      <c r="D419" s="1">
        <f t="shared" si="29"/>
        <v>5.9024869724884379</v>
      </c>
      <c r="E419" s="1">
        <f t="shared" si="29"/>
        <v>3.4198971193138767</v>
      </c>
      <c r="F419" s="1">
        <f>$A410*F$412+B410</f>
        <v>9.9999791130180657</v>
      </c>
    </row>
    <row r="420" spans="1:6" ht="16.5" hidden="1" customHeight="1">
      <c r="A420" s="1" t="s">
        <v>61</v>
      </c>
    </row>
    <row r="421" spans="1:6" ht="16.5" hidden="1" customHeight="1">
      <c r="A421" s="1">
        <f t="array" ref="A421:F426">MINVERSE(A414:F419)</f>
        <v>0.16376874630938534</v>
      </c>
      <c r="B421" s="1">
        <v>-1.9013139105580942E-2</v>
      </c>
      <c r="C421" s="1">
        <v>-2.3521228401987962E-2</v>
      </c>
      <c r="D421" s="1">
        <v>-4.8695145901264218E-2</v>
      </c>
      <c r="E421" s="1">
        <v>-9.0270903960951738E-3</v>
      </c>
      <c r="F421" s="1">
        <v>-1.1605138857082363E-2</v>
      </c>
    </row>
    <row r="422" spans="1:6" ht="16.5" hidden="1" customHeight="1">
      <c r="A422" s="1">
        <v>-1.9013139105580942E-2</v>
      </c>
      <c r="B422" s="1">
        <v>0.16754355615990676</v>
      </c>
      <c r="C422" s="1">
        <v>-2.8459487133998367E-2</v>
      </c>
      <c r="D422" s="1">
        <v>-5.891864381318089E-2</v>
      </c>
      <c r="E422" s="1">
        <v>-1.0922319132082314E-2</v>
      </c>
      <c r="F422" s="1">
        <v>-1.4041626327793566E-2</v>
      </c>
    </row>
    <row r="423" spans="1:6" ht="16.5" hidden="1" customHeight="1">
      <c r="A423" s="1">
        <v>-2.3521228401987958E-2</v>
      </c>
      <c r="B423" s="1">
        <v>-2.845948713399836E-2</v>
      </c>
      <c r="C423" s="1">
        <v>0.1748980293634351</v>
      </c>
      <c r="D423" s="1">
        <v>-7.288848362017275E-2</v>
      </c>
      <c r="E423" s="1">
        <v>-1.3512043516775252E-2</v>
      </c>
      <c r="F423" s="1">
        <v>-1.737095059144933E-2</v>
      </c>
    </row>
    <row r="424" spans="1:6" ht="16.5" hidden="1" customHeight="1">
      <c r="A424" s="1">
        <v>-4.8695145901264253E-2</v>
      </c>
      <c r="B424" s="1">
        <v>-5.8918643813180925E-2</v>
      </c>
      <c r="C424" s="1">
        <v>-7.2888483620172737E-2</v>
      </c>
      <c r="D424" s="1">
        <v>0.21445333786694876</v>
      </c>
      <c r="E424" s="1">
        <v>-2.797349352799924E-2</v>
      </c>
      <c r="F424" s="1">
        <v>-3.5962448858444206E-2</v>
      </c>
    </row>
    <row r="425" spans="1:6" ht="16.5" hidden="1" customHeight="1">
      <c r="A425" s="1">
        <v>-9.0270903960951721E-3</v>
      </c>
      <c r="B425" s="1">
        <v>-1.0922319132082312E-2</v>
      </c>
      <c r="C425" s="1">
        <v>-1.3512043516775263E-2</v>
      </c>
      <c r="D425" s="1">
        <v>-2.797349352799923E-2</v>
      </c>
      <c r="E425" s="1">
        <v>0.11170910476338836</v>
      </c>
      <c r="F425" s="1">
        <v>-6.6667071368544323E-3</v>
      </c>
    </row>
    <row r="426" spans="1:6" ht="16.5" hidden="1" customHeight="1">
      <c r="A426" s="1">
        <v>-1.1605138857082344E-2</v>
      </c>
      <c r="B426" s="1">
        <v>-1.4041626327793563E-2</v>
      </c>
      <c r="C426" s="1">
        <v>-1.737095059144934E-2</v>
      </c>
      <c r="D426" s="1">
        <v>-3.5962448858444213E-2</v>
      </c>
      <c r="E426" s="1">
        <v>-6.6667071368544288E-3</v>
      </c>
      <c r="F426" s="1">
        <v>0.14282347887478478</v>
      </c>
    </row>
    <row r="427" spans="1:6" ht="16.5" hidden="1" customHeight="1">
      <c r="A427" s="1" t="s">
        <v>54</v>
      </c>
    </row>
    <row r="428" spans="1:6" ht="16.5" hidden="1" customHeight="1">
      <c r="A428" s="1" t="e">
        <f t="array" ref="A428:F433">MMULT(A80:F85,A421:F426)</f>
        <v>#VALUE!</v>
      </c>
      <c r="B428" s="1" t="e">
        <v>#VALUE!</v>
      </c>
      <c r="C428" s="1" t="e">
        <v>#VALUE!</v>
      </c>
      <c r="D428" s="1" t="e">
        <v>#VALUE!</v>
      </c>
      <c r="E428" s="1" t="e">
        <v>#VALUE!</v>
      </c>
      <c r="F428" s="1" t="e">
        <v>#VALUE!</v>
      </c>
    </row>
    <row r="429" spans="1:6" ht="16.5" hidden="1" customHeight="1">
      <c r="A429" s="1" t="e">
        <v>#VALUE!</v>
      </c>
      <c r="B429" s="1" t="e">
        <v>#VALUE!</v>
      </c>
      <c r="C429" s="1" t="e">
        <v>#VALUE!</v>
      </c>
      <c r="D429" s="1" t="e">
        <v>#VALUE!</v>
      </c>
      <c r="E429" s="1" t="e">
        <v>#VALUE!</v>
      </c>
      <c r="F429" s="1" t="e">
        <v>#VALUE!</v>
      </c>
    </row>
    <row r="430" spans="1:6" ht="16.5" hidden="1" customHeight="1">
      <c r="A430" s="1" t="e">
        <v>#VALUE!</v>
      </c>
      <c r="B430" s="1" t="e">
        <v>#VALUE!</v>
      </c>
      <c r="C430" s="1" t="e">
        <v>#VALUE!</v>
      </c>
      <c r="D430" s="1" t="e">
        <v>#VALUE!</v>
      </c>
      <c r="E430" s="1" t="e">
        <v>#VALUE!</v>
      </c>
      <c r="F430" s="1" t="e">
        <v>#VALUE!</v>
      </c>
    </row>
    <row r="431" spans="1:6" ht="16.5" hidden="1" customHeight="1">
      <c r="A431" s="1" t="e">
        <v>#VALUE!</v>
      </c>
      <c r="B431" s="1" t="e">
        <v>#VALUE!</v>
      </c>
      <c r="C431" s="1" t="e">
        <v>#VALUE!</v>
      </c>
      <c r="D431" s="1" t="e">
        <v>#VALUE!</v>
      </c>
      <c r="E431" s="1" t="e">
        <v>#VALUE!</v>
      </c>
      <c r="F431" s="1" t="e">
        <v>#VALUE!</v>
      </c>
    </row>
    <row r="432" spans="1:6" ht="16.5" hidden="1" customHeight="1">
      <c r="A432" s="1" t="e">
        <v>#VALUE!</v>
      </c>
      <c r="B432" s="1" t="e">
        <v>#VALUE!</v>
      </c>
      <c r="C432" s="1" t="e">
        <v>#VALUE!</v>
      </c>
      <c r="D432" s="1" t="e">
        <v>#VALUE!</v>
      </c>
      <c r="E432" s="1" t="e">
        <v>#VALUE!</v>
      </c>
      <c r="F432" s="1" t="e">
        <v>#VALUE!</v>
      </c>
    </row>
    <row r="433" spans="1:6" ht="16.5" hidden="1" customHeight="1">
      <c r="A433" s="1" t="e">
        <v>#VALUE!</v>
      </c>
      <c r="B433" s="1" t="e">
        <v>#VALUE!</v>
      </c>
      <c r="C433" s="1" t="e">
        <v>#VALUE!</v>
      </c>
      <c r="D433" s="1" t="e">
        <v>#VALUE!</v>
      </c>
      <c r="E433" s="1" t="e">
        <v>#VALUE!</v>
      </c>
      <c r="F433" s="1" t="e">
        <v>#VALUE!</v>
      </c>
    </row>
    <row r="434" spans="1:6" ht="16.5" hidden="1" customHeight="1">
      <c r="A434" s="1" t="s">
        <v>41</v>
      </c>
    </row>
    <row r="435" spans="1:6" ht="16.5" hidden="1" customHeight="1">
      <c r="A435" s="1" t="e">
        <f>LN(MDETERM(A414:F419))+SUM(A428,B429,C430,D431,E432,F433)-LN(MDETERM(A80:F85))-6</f>
        <v>#VALUE!</v>
      </c>
    </row>
    <row r="436" spans="1:6" ht="16.5" hidden="1" customHeight="1">
      <c r="A436" s="1" t="e">
        <f>MIN($A$435)</f>
        <v>#VALUE!</v>
      </c>
    </row>
    <row r="437" spans="1:6" ht="16.5" hidden="1" customHeight="1">
      <c r="A437" s="1">
        <f>COUNT($A$405,$A$406,$A$407,$A$408,$A$409,$A$410,$B$405,$B$406,$B$407,$B$408,$B$409,$B$410)</f>
        <v>12</v>
      </c>
    </row>
    <row r="438" spans="1:6" ht="16.5" hidden="1" customHeight="1">
      <c r="A438" s="1">
        <f>{32767,32767,0.000001,0.01,FALSE,FALSE,TRUE,1,1,1,0.0001,TRUE}</f>
        <v>32767</v>
      </c>
    </row>
    <row r="439" spans="1:6" ht="16.5" hidden="1" customHeight="1">
      <c r="A439" s="1">
        <f>{0,0,1,100,0,FALSE,TRUE,0.075,0,0,FALSE,30}</f>
        <v>0</v>
      </c>
    </row>
    <row r="440" spans="1:6" ht="16.5" hidden="1" customHeight="1">
      <c r="A440" s="1" t="s">
        <v>62</v>
      </c>
    </row>
    <row r="441" spans="1:6" ht="16.5" hidden="1" customHeight="1">
      <c r="A441" s="1" t="s">
        <v>63</v>
      </c>
      <c r="B441" s="1" t="s">
        <v>52</v>
      </c>
      <c r="C441" s="1" t="s">
        <v>53</v>
      </c>
      <c r="D441" s="1">
        <v>2.3990254357006027</v>
      </c>
    </row>
    <row r="442" spans="1:6" ht="16.5" hidden="1" customHeight="1">
      <c r="A442" s="1">
        <f>$D$441</f>
        <v>2.3990254357006027</v>
      </c>
      <c r="B442" s="1">
        <v>5.2493635130658545</v>
      </c>
    </row>
    <row r="443" spans="1:6" ht="16.5" hidden="1" customHeight="1">
      <c r="A443" s="1">
        <f t="shared" ref="A443:A447" si="30">$D$441</f>
        <v>2.3990254357006027</v>
      </c>
      <c r="B443" s="1">
        <v>5.3571996461531999</v>
      </c>
    </row>
    <row r="444" spans="1:6" ht="16.5" hidden="1" customHeight="1">
      <c r="A444" s="1">
        <f t="shared" si="30"/>
        <v>2.3990254357006027</v>
      </c>
      <c r="B444" s="1">
        <v>5.4465533657369951</v>
      </c>
    </row>
    <row r="445" spans="1:6" ht="16.5" hidden="1" customHeight="1">
      <c r="A445" s="1">
        <f t="shared" si="30"/>
        <v>2.3990254357006027</v>
      </c>
      <c r="B445" s="1">
        <v>4.7783618274280819</v>
      </c>
    </row>
    <row r="446" spans="1:6" ht="16.5" hidden="1" customHeight="1">
      <c r="A446" s="1">
        <f t="shared" si="30"/>
        <v>2.3990254357006027</v>
      </c>
      <c r="B446" s="1">
        <v>7.688491059139765</v>
      </c>
    </row>
    <row r="447" spans="1:6" ht="16.5" hidden="1" customHeight="1">
      <c r="A447" s="1">
        <f t="shared" si="30"/>
        <v>2.3990254357006027</v>
      </c>
      <c r="B447" s="1">
        <v>5.7553300127962652</v>
      </c>
    </row>
    <row r="448" spans="1:6" ht="16.5" hidden="1" customHeight="1">
      <c r="A448" s="1" t="s">
        <v>48</v>
      </c>
    </row>
    <row r="449" spans="1:6" ht="16.5" hidden="1" customHeight="1">
      <c r="A449" s="1">
        <f t="array" ref="A449:F449">TRANSPOSE(A442:A447)</f>
        <v>2.3990254357006027</v>
      </c>
      <c r="B449" s="1">
        <v>2.3990254357006027</v>
      </c>
      <c r="C449" s="1">
        <v>2.3990254357006027</v>
      </c>
      <c r="D449" s="1">
        <v>2.3990254357006027</v>
      </c>
      <c r="E449" s="1">
        <v>2.3990254357006027</v>
      </c>
      <c r="F449" s="1">
        <v>2.3990254357006027</v>
      </c>
    </row>
    <row r="450" spans="1:6" ht="16.5" hidden="1" customHeight="1">
      <c r="A450" s="1" t="s">
        <v>38</v>
      </c>
    </row>
    <row r="451" spans="1:6" ht="16.5" hidden="1" customHeight="1">
      <c r="A451" s="1">
        <f>$A442*A$449+B442</f>
        <v>11.004686554204321</v>
      </c>
      <c r="B451" s="1">
        <f t="shared" ref="B451:F451" si="31">$A442*B$449</f>
        <v>5.7553230411384666</v>
      </c>
      <c r="C451" s="1">
        <f t="shared" si="31"/>
        <v>5.7553230411384666</v>
      </c>
      <c r="D451" s="1">
        <f t="shared" si="31"/>
        <v>5.7553230411384666</v>
      </c>
      <c r="E451" s="1">
        <f t="shared" si="31"/>
        <v>5.7553230411384666</v>
      </c>
      <c r="F451" s="1">
        <f t="shared" si="31"/>
        <v>5.7553230411384666</v>
      </c>
    </row>
    <row r="452" spans="1:6" ht="16.5" hidden="1" customHeight="1">
      <c r="A452" s="1">
        <f t="shared" ref="A452:F456" si="32">$A443*A$449</f>
        <v>5.7553230411384666</v>
      </c>
      <c r="B452" s="1">
        <f>$A443*B$449+B443</f>
        <v>11.112522687291666</v>
      </c>
      <c r="C452" s="1">
        <f t="shared" si="32"/>
        <v>5.7553230411384666</v>
      </c>
      <c r="D452" s="1">
        <f t="shared" si="32"/>
        <v>5.7553230411384666</v>
      </c>
      <c r="E452" s="1">
        <f t="shared" si="32"/>
        <v>5.7553230411384666</v>
      </c>
      <c r="F452" s="1">
        <f t="shared" si="32"/>
        <v>5.7553230411384666</v>
      </c>
    </row>
    <row r="453" spans="1:6" ht="16.5" hidden="1" customHeight="1">
      <c r="A453" s="1">
        <f t="shared" si="32"/>
        <v>5.7553230411384666</v>
      </c>
      <c r="B453" s="1">
        <f t="shared" si="32"/>
        <v>5.7553230411384666</v>
      </c>
      <c r="C453" s="1">
        <f>$A444*C$449+B444</f>
        <v>11.201876406875462</v>
      </c>
      <c r="D453" s="1">
        <f t="shared" si="32"/>
        <v>5.7553230411384666</v>
      </c>
      <c r="E453" s="1">
        <f t="shared" si="32"/>
        <v>5.7553230411384666</v>
      </c>
      <c r="F453" s="1">
        <f t="shared" si="32"/>
        <v>5.7553230411384666</v>
      </c>
    </row>
    <row r="454" spans="1:6" ht="16.5" hidden="1" customHeight="1">
      <c r="A454" s="1">
        <f t="shared" si="32"/>
        <v>5.7553230411384666</v>
      </c>
      <c r="B454" s="1">
        <f t="shared" si="32"/>
        <v>5.7553230411384666</v>
      </c>
      <c r="C454" s="1">
        <f t="shared" si="32"/>
        <v>5.7553230411384666</v>
      </c>
      <c r="D454" s="1">
        <f>$A445*D$449+B445</f>
        <v>10.533684868566549</v>
      </c>
      <c r="E454" s="1">
        <f t="shared" si="32"/>
        <v>5.7553230411384666</v>
      </c>
      <c r="F454" s="1">
        <f t="shared" si="32"/>
        <v>5.7553230411384666</v>
      </c>
    </row>
    <row r="455" spans="1:6" ht="16.5" hidden="1" customHeight="1">
      <c r="A455" s="1">
        <f t="shared" si="32"/>
        <v>5.7553230411384666</v>
      </c>
      <c r="B455" s="1">
        <f t="shared" si="32"/>
        <v>5.7553230411384666</v>
      </c>
      <c r="C455" s="1">
        <f t="shared" si="32"/>
        <v>5.7553230411384666</v>
      </c>
      <c r="D455" s="1">
        <f t="shared" si="32"/>
        <v>5.7553230411384666</v>
      </c>
      <c r="E455" s="1">
        <f>$A446*E$449+B446</f>
        <v>13.443814100278232</v>
      </c>
      <c r="F455" s="1">
        <f t="shared" si="32"/>
        <v>5.7553230411384666</v>
      </c>
    </row>
    <row r="456" spans="1:6" ht="16.5" hidden="1" customHeight="1">
      <c r="A456" s="1">
        <f t="shared" si="32"/>
        <v>5.7553230411384666</v>
      </c>
      <c r="B456" s="1">
        <f t="shared" si="32"/>
        <v>5.7553230411384666</v>
      </c>
      <c r="C456" s="1">
        <f t="shared" si="32"/>
        <v>5.7553230411384666</v>
      </c>
      <c r="D456" s="1">
        <f t="shared" si="32"/>
        <v>5.7553230411384666</v>
      </c>
      <c r="E456" s="1">
        <f t="shared" si="32"/>
        <v>5.7553230411384666</v>
      </c>
      <c r="F456" s="1">
        <f>$A447*F$449+B447</f>
        <v>11.510653053934732</v>
      </c>
    </row>
    <row r="457" spans="1:6" ht="16.5" hidden="1" customHeight="1">
      <c r="A457" s="1" t="s">
        <v>61</v>
      </c>
    </row>
    <row r="458" spans="1:6" ht="16.5" hidden="1" customHeight="1">
      <c r="A458" s="1">
        <f t="array" ref="A458:F463">MINVERSE(A451:F456)</f>
        <v>0.16141172938500437</v>
      </c>
      <c r="B458" s="1">
        <v>-2.8502047202056419E-2</v>
      </c>
      <c r="C458" s="1">
        <v>-2.8034455357776003E-2</v>
      </c>
      <c r="D458" s="1">
        <v>-3.1954708056857899E-2</v>
      </c>
      <c r="E458" s="1">
        <v>-1.9859704070798845E-2</v>
      </c>
      <c r="F458" s="1">
        <v>-2.6530391280084466E-2</v>
      </c>
    </row>
    <row r="459" spans="1:6" ht="16.5" hidden="1" customHeight="1">
      <c r="A459" s="1">
        <v>-2.8502047202056426E-2</v>
      </c>
      <c r="B459" s="1">
        <v>0.15873636405924715</v>
      </c>
      <c r="C459" s="1">
        <v>-2.7470144251475693E-2</v>
      </c>
      <c r="D459" s="1">
        <v>-3.1311485407266922E-2</v>
      </c>
      <c r="E459" s="1">
        <v>-1.945994415279919E-2</v>
      </c>
      <c r="F459" s="1">
        <v>-2.5996355777600847E-2</v>
      </c>
    </row>
    <row r="460" spans="1:6" ht="16.5" hidden="1" customHeight="1">
      <c r="A460" s="1">
        <v>-2.8034455357776E-2</v>
      </c>
      <c r="B460" s="1">
        <v>-2.74701442514757E-2</v>
      </c>
      <c r="C460" s="1">
        <v>0.15658286914091701</v>
      </c>
      <c r="D460" s="1">
        <v>-3.0797803175778408E-2</v>
      </c>
      <c r="E460" s="1">
        <v>-1.914069300878506E-2</v>
      </c>
      <c r="F460" s="1">
        <v>-2.5569871186636409E-2</v>
      </c>
    </row>
    <row r="461" spans="1:6" ht="16.5" hidden="1" customHeight="1">
      <c r="A461" s="1">
        <v>-3.1954708056857913E-2</v>
      </c>
      <c r="B461" s="1">
        <v>-3.1311485407266929E-2</v>
      </c>
      <c r="C461" s="1">
        <v>-3.0797803175778411E-2</v>
      </c>
      <c r="D461" s="1">
        <v>0.17417226897269417</v>
      </c>
      <c r="E461" s="1">
        <v>-2.1817269117447538E-2</v>
      </c>
      <c r="F461" s="1">
        <v>-2.9145483955114317E-2</v>
      </c>
    </row>
    <row r="462" spans="1:6" ht="16.5" hidden="1" customHeight="1">
      <c r="A462" s="1">
        <v>-1.9859704070798841E-2</v>
      </c>
      <c r="B462" s="1">
        <v>-1.9459944152799197E-2</v>
      </c>
      <c r="C462" s="1">
        <v>-1.9140693008785067E-2</v>
      </c>
      <c r="D462" s="1">
        <v>-2.1817269117447535E-2</v>
      </c>
      <c r="E462" s="1">
        <v>0.11650520071888919</v>
      </c>
      <c r="F462" s="1">
        <v>-1.8113784213546067E-2</v>
      </c>
    </row>
    <row r="463" spans="1:6" ht="16.5" hidden="1" customHeight="1">
      <c r="A463" s="1">
        <v>-2.6530391280084466E-2</v>
      </c>
      <c r="B463" s="1">
        <v>-2.5996355777600847E-2</v>
      </c>
      <c r="C463" s="1">
        <v>-2.5569871186636405E-2</v>
      </c>
      <c r="D463" s="1">
        <v>-2.9145483955114317E-2</v>
      </c>
      <c r="E463" s="1">
        <v>-1.8113784213546064E-2</v>
      </c>
      <c r="F463" s="1">
        <v>0.14955394914161865</v>
      </c>
    </row>
    <row r="464" spans="1:6" ht="16.5" hidden="1" customHeight="1">
      <c r="A464" s="1" t="s">
        <v>54</v>
      </c>
    </row>
    <row r="465" spans="1:6" ht="16.5" hidden="1" customHeight="1">
      <c r="A465" s="1" t="e">
        <f t="array" ref="A465:F470">MMULT(A80:F85,A458:F463)</f>
        <v>#VALUE!</v>
      </c>
      <c r="B465" s="1" t="e">
        <v>#VALUE!</v>
      </c>
      <c r="C465" s="1" t="e">
        <v>#VALUE!</v>
      </c>
      <c r="D465" s="1" t="e">
        <v>#VALUE!</v>
      </c>
      <c r="E465" s="1" t="e">
        <v>#VALUE!</v>
      </c>
      <c r="F465" s="1" t="e">
        <v>#VALUE!</v>
      </c>
    </row>
    <row r="466" spans="1:6" ht="16.5" hidden="1" customHeight="1">
      <c r="A466" s="1" t="e">
        <v>#VALUE!</v>
      </c>
      <c r="B466" s="1" t="e">
        <v>#VALUE!</v>
      </c>
      <c r="C466" s="1" t="e">
        <v>#VALUE!</v>
      </c>
      <c r="D466" s="1" t="e">
        <v>#VALUE!</v>
      </c>
      <c r="E466" s="1" t="e">
        <v>#VALUE!</v>
      </c>
      <c r="F466" s="1" t="e">
        <v>#VALUE!</v>
      </c>
    </row>
    <row r="467" spans="1:6" ht="16.5" hidden="1" customHeight="1">
      <c r="A467" s="1" t="e">
        <v>#VALUE!</v>
      </c>
      <c r="B467" s="1" t="e">
        <v>#VALUE!</v>
      </c>
      <c r="C467" s="1" t="e">
        <v>#VALUE!</v>
      </c>
      <c r="D467" s="1" t="e">
        <v>#VALUE!</v>
      </c>
      <c r="E467" s="1" t="e">
        <v>#VALUE!</v>
      </c>
      <c r="F467" s="1" t="e">
        <v>#VALUE!</v>
      </c>
    </row>
    <row r="468" spans="1:6" ht="16.5" hidden="1" customHeight="1">
      <c r="A468" s="1" t="e">
        <v>#VALUE!</v>
      </c>
      <c r="B468" s="1" t="e">
        <v>#VALUE!</v>
      </c>
      <c r="C468" s="1" t="e">
        <v>#VALUE!</v>
      </c>
      <c r="D468" s="1" t="e">
        <v>#VALUE!</v>
      </c>
      <c r="E468" s="1" t="e">
        <v>#VALUE!</v>
      </c>
      <c r="F468" s="1" t="e">
        <v>#VALUE!</v>
      </c>
    </row>
    <row r="469" spans="1:6" ht="16.5" hidden="1" customHeight="1">
      <c r="A469" s="1" t="e">
        <v>#VALUE!</v>
      </c>
      <c r="B469" s="1" t="e">
        <v>#VALUE!</v>
      </c>
      <c r="C469" s="1" t="e">
        <v>#VALUE!</v>
      </c>
      <c r="D469" s="1" t="e">
        <v>#VALUE!</v>
      </c>
      <c r="E469" s="1" t="e">
        <v>#VALUE!</v>
      </c>
      <c r="F469" s="1" t="e">
        <v>#VALUE!</v>
      </c>
    </row>
    <row r="470" spans="1:6" ht="16.5" hidden="1" customHeight="1">
      <c r="A470" s="1" t="e">
        <v>#VALUE!</v>
      </c>
      <c r="B470" s="1" t="e">
        <v>#VALUE!</v>
      </c>
      <c r="C470" s="1" t="e">
        <v>#VALUE!</v>
      </c>
      <c r="D470" s="1" t="e">
        <v>#VALUE!</v>
      </c>
      <c r="E470" s="1" t="e">
        <v>#VALUE!</v>
      </c>
      <c r="F470" s="1" t="e">
        <v>#VALUE!</v>
      </c>
    </row>
    <row r="471" spans="1:6" ht="16.5" hidden="1" customHeight="1">
      <c r="A471" s="1" t="s">
        <v>41</v>
      </c>
    </row>
    <row r="472" spans="1:6" ht="16.5" hidden="1" customHeight="1">
      <c r="A472" s="1" t="e">
        <f>LN(MDETERM(A451:F456))+SUM(A465,B466,C467,D468,E469,F470)-LN(MDETERM(A80:F85))-6</f>
        <v>#VALUE!</v>
      </c>
    </row>
    <row r="473" spans="1:6" ht="16.5" hidden="1" customHeight="1">
      <c r="A473" s="1" t="e">
        <f>MIN($A$472)</f>
        <v>#VALUE!</v>
      </c>
    </row>
    <row r="474" spans="1:6" ht="16.5" hidden="1" customHeight="1">
      <c r="A474" s="1">
        <f>COUNT($B$442,$B$443,$B$444,$B$445,$B$446,$B$447,$D$441)</f>
        <v>7</v>
      </c>
    </row>
    <row r="475" spans="1:6" ht="16.5" hidden="1" customHeight="1">
      <c r="A475" s="1">
        <f>{32767,32767,0.000001,0.01,FALSE,FALSE,TRUE,1,1,1,0.0001,TRUE}</f>
        <v>32767</v>
      </c>
    </row>
    <row r="476" spans="1:6" ht="16.5" hidden="1" customHeight="1">
      <c r="A476" s="1">
        <f>{0,0,1,100,0,FALSE,TRUE,0.075,0,0,FALSE,30}</f>
        <v>0</v>
      </c>
    </row>
    <row r="477" spans="1:6" ht="16.5" hidden="1" customHeight="1">
      <c r="A477" s="1" t="s">
        <v>59</v>
      </c>
    </row>
    <row r="478" spans="1:6" ht="16.5" hidden="1" customHeight="1">
      <c r="A478" s="1" t="s">
        <v>45</v>
      </c>
      <c r="B478" s="1" t="s">
        <v>46</v>
      </c>
      <c r="C478" s="1" t="s">
        <v>53</v>
      </c>
      <c r="D478" s="1">
        <v>2.3664291270203965</v>
      </c>
    </row>
    <row r="479" spans="1:6" ht="16.5" hidden="1" customHeight="1">
      <c r="A479" s="1">
        <f>$D$478</f>
        <v>2.3664291270203965</v>
      </c>
      <c r="B479" s="1">
        <f>$D$479</f>
        <v>5.7333202178527181</v>
      </c>
      <c r="C479" s="1" t="s">
        <v>64</v>
      </c>
      <c r="D479" s="1">
        <v>5.7333202178527181</v>
      </c>
    </row>
    <row r="480" spans="1:6" ht="16.5" hidden="1" customHeight="1">
      <c r="A480" s="1">
        <f t="shared" ref="A480:A484" si="33">$D$478</f>
        <v>2.3664291270203965</v>
      </c>
      <c r="B480" s="1">
        <f t="shared" ref="B480:B484" si="34">$D$479</f>
        <v>5.7333202178527181</v>
      </c>
    </row>
    <row r="481" spans="1:6" ht="16.5" hidden="1" customHeight="1">
      <c r="A481" s="1">
        <f t="shared" si="33"/>
        <v>2.3664291270203965</v>
      </c>
      <c r="B481" s="1">
        <f t="shared" si="34"/>
        <v>5.7333202178527181</v>
      </c>
    </row>
    <row r="482" spans="1:6" ht="16.5" hidden="1" customHeight="1">
      <c r="A482" s="1">
        <f t="shared" si="33"/>
        <v>2.3664291270203965</v>
      </c>
      <c r="B482" s="1">
        <f t="shared" si="34"/>
        <v>5.7333202178527181</v>
      </c>
    </row>
    <row r="483" spans="1:6" ht="16.5" hidden="1" customHeight="1">
      <c r="A483" s="1">
        <f t="shared" si="33"/>
        <v>2.3664291270203965</v>
      </c>
      <c r="B483" s="1">
        <f t="shared" si="34"/>
        <v>5.7333202178527181</v>
      </c>
    </row>
    <row r="484" spans="1:6" ht="16.5" hidden="1" customHeight="1">
      <c r="A484" s="1">
        <f t="shared" si="33"/>
        <v>2.3664291270203965</v>
      </c>
      <c r="B484" s="1">
        <f t="shared" si="34"/>
        <v>5.7333202178527181</v>
      </c>
    </row>
    <row r="485" spans="1:6" ht="16.5" hidden="1" customHeight="1">
      <c r="A485" s="1" t="s">
        <v>48</v>
      </c>
    </row>
    <row r="486" spans="1:6" ht="16.5" hidden="1" customHeight="1">
      <c r="A486" s="1">
        <f t="array" ref="A486:F486">TRANSPOSE(A479:A484)</f>
        <v>2.3664291270203965</v>
      </c>
      <c r="B486" s="1">
        <v>2.3664291270203965</v>
      </c>
      <c r="C486" s="1">
        <v>2.3664291270203965</v>
      </c>
      <c r="D486" s="1">
        <v>2.3664291270203965</v>
      </c>
      <c r="E486" s="1">
        <v>2.3664291270203965</v>
      </c>
      <c r="F486" s="1">
        <v>2.3664291270203965</v>
      </c>
    </row>
    <row r="487" spans="1:6" ht="16.5" hidden="1" customHeight="1">
      <c r="A487" s="1" t="s">
        <v>38</v>
      </c>
    </row>
    <row r="488" spans="1:6" ht="16.5" hidden="1" customHeight="1">
      <c r="A488" s="1">
        <f>$A479*A$486+B479</f>
        <v>11.333307031063235</v>
      </c>
      <c r="B488" s="1">
        <f t="shared" ref="B488:F488" si="35">$A479*B$486</f>
        <v>5.5999868132105162</v>
      </c>
      <c r="C488" s="1">
        <f t="shared" si="35"/>
        <v>5.5999868132105162</v>
      </c>
      <c r="D488" s="1">
        <f t="shared" si="35"/>
        <v>5.5999868132105162</v>
      </c>
      <c r="E488" s="1">
        <f t="shared" si="35"/>
        <v>5.5999868132105162</v>
      </c>
      <c r="F488" s="1">
        <f t="shared" si="35"/>
        <v>5.5999868132105162</v>
      </c>
    </row>
    <row r="489" spans="1:6" ht="16.5" hidden="1" customHeight="1">
      <c r="A489" s="1">
        <f t="shared" ref="A489:F493" si="36">$A480*A$486</f>
        <v>5.5999868132105162</v>
      </c>
      <c r="B489" s="1">
        <f>$A480*B$486+B480</f>
        <v>11.333307031063235</v>
      </c>
      <c r="C489" s="1">
        <f t="shared" si="36"/>
        <v>5.5999868132105162</v>
      </c>
      <c r="D489" s="1">
        <f t="shared" si="36"/>
        <v>5.5999868132105162</v>
      </c>
      <c r="E489" s="1">
        <f t="shared" si="36"/>
        <v>5.5999868132105162</v>
      </c>
      <c r="F489" s="1">
        <f t="shared" si="36"/>
        <v>5.5999868132105162</v>
      </c>
    </row>
    <row r="490" spans="1:6" ht="16.5" hidden="1" customHeight="1">
      <c r="A490" s="1">
        <f t="shared" si="36"/>
        <v>5.5999868132105162</v>
      </c>
      <c r="B490" s="1">
        <f t="shared" si="36"/>
        <v>5.5999868132105162</v>
      </c>
      <c r="C490" s="1">
        <f>$A481*C$486+B481</f>
        <v>11.333307031063235</v>
      </c>
      <c r="D490" s="1">
        <f t="shared" si="36"/>
        <v>5.5999868132105162</v>
      </c>
      <c r="E490" s="1">
        <f t="shared" si="36"/>
        <v>5.5999868132105162</v>
      </c>
      <c r="F490" s="1">
        <f t="shared" si="36"/>
        <v>5.5999868132105162</v>
      </c>
    </row>
    <row r="491" spans="1:6" ht="16.5" hidden="1" customHeight="1">
      <c r="A491" s="1">
        <f t="shared" si="36"/>
        <v>5.5999868132105162</v>
      </c>
      <c r="B491" s="1">
        <f t="shared" si="36"/>
        <v>5.5999868132105162</v>
      </c>
      <c r="C491" s="1">
        <f t="shared" si="36"/>
        <v>5.5999868132105162</v>
      </c>
      <c r="D491" s="1">
        <f>$A482*D$486+B482</f>
        <v>11.333307031063235</v>
      </c>
      <c r="E491" s="1">
        <f t="shared" si="36"/>
        <v>5.5999868132105162</v>
      </c>
      <c r="F491" s="1">
        <f t="shared" si="36"/>
        <v>5.5999868132105162</v>
      </c>
    </row>
    <row r="492" spans="1:6" ht="16.5" hidden="1" customHeight="1">
      <c r="A492" s="1">
        <f t="shared" si="36"/>
        <v>5.5999868132105162</v>
      </c>
      <c r="B492" s="1">
        <f t="shared" si="36"/>
        <v>5.5999868132105162</v>
      </c>
      <c r="C492" s="1">
        <f t="shared" si="36"/>
        <v>5.5999868132105162</v>
      </c>
      <c r="D492" s="1">
        <f t="shared" si="36"/>
        <v>5.5999868132105162</v>
      </c>
      <c r="E492" s="1">
        <f>$A483*E$486+B483</f>
        <v>11.333307031063235</v>
      </c>
      <c r="F492" s="1">
        <f t="shared" si="36"/>
        <v>5.5999868132105162</v>
      </c>
    </row>
    <row r="493" spans="1:6" ht="16.5" hidden="1" customHeight="1">
      <c r="A493" s="1">
        <f t="shared" si="36"/>
        <v>5.5999868132105162</v>
      </c>
      <c r="B493" s="1">
        <f t="shared" si="36"/>
        <v>5.5999868132105162</v>
      </c>
      <c r="C493" s="1">
        <f t="shared" si="36"/>
        <v>5.5999868132105162</v>
      </c>
      <c r="D493" s="1">
        <f t="shared" si="36"/>
        <v>5.5999868132105162</v>
      </c>
      <c r="E493" s="1">
        <f t="shared" si="36"/>
        <v>5.5999868132105162</v>
      </c>
      <c r="F493" s="1">
        <f>$A484*F$486+B484</f>
        <v>11.333307031063235</v>
      </c>
    </row>
    <row r="494" spans="1:6" ht="16.5" hidden="1" customHeight="1">
      <c r="A494" s="1" t="s">
        <v>61</v>
      </c>
    </row>
    <row r="495" spans="1:6" ht="16.5" hidden="1" customHeight="1">
      <c r="A495" s="1">
        <f t="array" ref="A495:F500">MINVERSE(A488:F493)</f>
        <v>0.14958646777972118</v>
      </c>
      <c r="B495" s="1">
        <v>-2.4832535869533646E-2</v>
      </c>
      <c r="C495" s="1">
        <v>-2.4832535869533656E-2</v>
      </c>
      <c r="D495" s="1">
        <v>-2.4832535869533646E-2</v>
      </c>
      <c r="E495" s="1">
        <v>-2.4832535869533663E-2</v>
      </c>
      <c r="F495" s="1">
        <v>-2.4832535869533667E-2</v>
      </c>
    </row>
    <row r="496" spans="1:6" ht="16.5" hidden="1" customHeight="1">
      <c r="A496" s="1">
        <v>-2.483253586953366E-2</v>
      </c>
      <c r="B496" s="1">
        <v>0.14958646777972118</v>
      </c>
      <c r="C496" s="1">
        <v>-2.483253586953366E-2</v>
      </c>
      <c r="D496" s="1">
        <v>-2.4832535869533653E-2</v>
      </c>
      <c r="E496" s="1">
        <v>-2.4832535869533674E-2</v>
      </c>
      <c r="F496" s="1">
        <v>-2.4832535869533674E-2</v>
      </c>
    </row>
    <row r="497" spans="1:6" ht="16.5" hidden="1" customHeight="1">
      <c r="A497" s="1">
        <v>-2.4832535869533663E-2</v>
      </c>
      <c r="B497" s="1">
        <v>-2.4832535869533663E-2</v>
      </c>
      <c r="C497" s="1">
        <v>0.14958646777972118</v>
      </c>
      <c r="D497" s="1">
        <v>-2.4832535869533649E-2</v>
      </c>
      <c r="E497" s="1">
        <v>-2.4832535869533663E-2</v>
      </c>
      <c r="F497" s="1">
        <v>-2.4832535869533663E-2</v>
      </c>
    </row>
    <row r="498" spans="1:6" ht="16.5" hidden="1" customHeight="1">
      <c r="A498" s="1">
        <v>-2.4832535869533656E-2</v>
      </c>
      <c r="B498" s="1">
        <v>-2.4832535869533656E-2</v>
      </c>
      <c r="C498" s="1">
        <v>-2.4832535869533656E-2</v>
      </c>
      <c r="D498" s="1">
        <v>0.14958646777972115</v>
      </c>
      <c r="E498" s="1">
        <v>-2.4832535869533663E-2</v>
      </c>
      <c r="F498" s="1">
        <v>-2.4832535869533663E-2</v>
      </c>
    </row>
    <row r="499" spans="1:6" ht="16.5" hidden="1" customHeight="1">
      <c r="A499" s="1">
        <v>-2.4832535869533663E-2</v>
      </c>
      <c r="B499" s="1">
        <v>-2.4832535869533663E-2</v>
      </c>
      <c r="C499" s="1">
        <v>-2.4832535869533663E-2</v>
      </c>
      <c r="D499" s="1">
        <v>-2.4832535869533663E-2</v>
      </c>
      <c r="E499" s="1">
        <v>0.14958646777972121</v>
      </c>
      <c r="F499" s="1">
        <v>-2.4832535869533667E-2</v>
      </c>
    </row>
    <row r="500" spans="1:6" ht="16.5" hidden="1" customHeight="1">
      <c r="A500" s="1">
        <v>-2.4832535869533667E-2</v>
      </c>
      <c r="B500" s="1">
        <v>-2.4832535869533667E-2</v>
      </c>
      <c r="C500" s="1">
        <v>-2.4832535869533667E-2</v>
      </c>
      <c r="D500" s="1">
        <v>-2.4832535869533667E-2</v>
      </c>
      <c r="E500" s="1">
        <v>-2.4832535869533667E-2</v>
      </c>
      <c r="F500" s="1">
        <v>0.14958646777972121</v>
      </c>
    </row>
    <row r="501" spans="1:6" ht="16.5" hidden="1" customHeight="1">
      <c r="A501" s="1" t="s">
        <v>54</v>
      </c>
    </row>
    <row r="502" spans="1:6" ht="16.5" hidden="1" customHeight="1">
      <c r="A502" s="1" t="e">
        <f t="array" ref="A502:F507">MMULT(A80:F85,A495:F500)</f>
        <v>#VALUE!</v>
      </c>
      <c r="B502" s="1" t="e">
        <v>#VALUE!</v>
      </c>
      <c r="C502" s="1" t="e">
        <v>#VALUE!</v>
      </c>
      <c r="D502" s="1" t="e">
        <v>#VALUE!</v>
      </c>
      <c r="E502" s="1" t="e">
        <v>#VALUE!</v>
      </c>
      <c r="F502" s="1" t="e">
        <v>#VALUE!</v>
      </c>
    </row>
    <row r="503" spans="1:6" ht="16.5" hidden="1" customHeight="1">
      <c r="A503" s="1" t="e">
        <v>#VALUE!</v>
      </c>
      <c r="B503" s="1" t="e">
        <v>#VALUE!</v>
      </c>
      <c r="C503" s="1" t="e">
        <v>#VALUE!</v>
      </c>
      <c r="D503" s="1" t="e">
        <v>#VALUE!</v>
      </c>
      <c r="E503" s="1" t="e">
        <v>#VALUE!</v>
      </c>
      <c r="F503" s="1" t="e">
        <v>#VALUE!</v>
      </c>
    </row>
    <row r="504" spans="1:6" ht="16.5" hidden="1" customHeight="1">
      <c r="A504" s="1" t="e">
        <v>#VALUE!</v>
      </c>
      <c r="B504" s="1" t="e">
        <v>#VALUE!</v>
      </c>
      <c r="C504" s="1" t="e">
        <v>#VALUE!</v>
      </c>
      <c r="D504" s="1" t="e">
        <v>#VALUE!</v>
      </c>
      <c r="E504" s="1" t="e">
        <v>#VALUE!</v>
      </c>
      <c r="F504" s="1" t="e">
        <v>#VALUE!</v>
      </c>
    </row>
    <row r="505" spans="1:6" ht="16.5" hidden="1" customHeight="1">
      <c r="A505" s="1" t="e">
        <v>#VALUE!</v>
      </c>
      <c r="B505" s="1" t="e">
        <v>#VALUE!</v>
      </c>
      <c r="C505" s="1" t="e">
        <v>#VALUE!</v>
      </c>
      <c r="D505" s="1" t="e">
        <v>#VALUE!</v>
      </c>
      <c r="E505" s="1" t="e">
        <v>#VALUE!</v>
      </c>
      <c r="F505" s="1" t="e">
        <v>#VALUE!</v>
      </c>
    </row>
    <row r="506" spans="1:6" ht="16.5" hidden="1" customHeight="1">
      <c r="A506" s="1" t="e">
        <v>#VALUE!</v>
      </c>
      <c r="B506" s="1" t="e">
        <v>#VALUE!</v>
      </c>
      <c r="C506" s="1" t="e">
        <v>#VALUE!</v>
      </c>
      <c r="D506" s="1" t="e">
        <v>#VALUE!</v>
      </c>
      <c r="E506" s="1" t="e">
        <v>#VALUE!</v>
      </c>
      <c r="F506" s="1" t="e">
        <v>#VALUE!</v>
      </c>
    </row>
    <row r="507" spans="1:6" ht="16.5" hidden="1" customHeight="1">
      <c r="A507" s="1" t="e">
        <v>#VALUE!</v>
      </c>
      <c r="B507" s="1" t="e">
        <v>#VALUE!</v>
      </c>
      <c r="C507" s="1" t="e">
        <v>#VALUE!</v>
      </c>
      <c r="D507" s="1" t="e">
        <v>#VALUE!</v>
      </c>
      <c r="E507" s="1" t="e">
        <v>#VALUE!</v>
      </c>
      <c r="F507" s="1" t="e">
        <v>#VALUE!</v>
      </c>
    </row>
    <row r="508" spans="1:6" ht="16.5" hidden="1" customHeight="1">
      <c r="A508" s="1" t="s">
        <v>41</v>
      </c>
    </row>
    <row r="509" spans="1:6" ht="16.5" hidden="1" customHeight="1">
      <c r="A509" s="1" t="e">
        <f>LN(MDETERM(A488:F493))+SUM(A502,B503,C504,D505,E506,F507)-LN(MDETERM(A80:F85))-6</f>
        <v>#VALUE!</v>
      </c>
    </row>
    <row r="510" spans="1:6" ht="16.5" hidden="1" customHeight="1">
      <c r="A510" s="1" t="e">
        <f>MIN($A$509)</f>
        <v>#VALUE!</v>
      </c>
    </row>
    <row r="511" spans="1:6" ht="16.5" hidden="1" customHeight="1">
      <c r="A511" s="1">
        <f>COUNT($D$478,$D$479)</f>
        <v>2</v>
      </c>
    </row>
    <row r="512" spans="1:6" ht="16.5" hidden="1" customHeight="1">
      <c r="A512" s="1">
        <f>{32767,32767,0.000001,0.01,FALSE,FALSE,TRUE,1,1,1,0.0001,TRUE}</f>
        <v>32767</v>
      </c>
    </row>
    <row r="513" spans="1:6" ht="16.5" hidden="1" customHeight="1">
      <c r="A513" s="1">
        <f>{0,0,1,100,0,FALSE,TRUE,0.075,0,0,FALSE,30}</f>
        <v>0</v>
      </c>
    </row>
    <row r="514" spans="1:6" ht="16.5" hidden="1" customHeight="1">
      <c r="A514" s="1" t="s">
        <v>59</v>
      </c>
    </row>
    <row r="515" spans="1:6" ht="16.5" hidden="1" customHeight="1">
      <c r="A515" s="1" t="s">
        <v>65</v>
      </c>
    </row>
    <row r="516" spans="1:6" ht="16.5" hidden="1" customHeight="1">
      <c r="A516" s="1">
        <f>A80</f>
        <v>10</v>
      </c>
      <c r="B516" s="1">
        <v>0</v>
      </c>
      <c r="C516" s="1">
        <v>0</v>
      </c>
      <c r="D516" s="1">
        <v>0</v>
      </c>
      <c r="E516" s="1">
        <v>0</v>
      </c>
      <c r="F516" s="1">
        <v>0</v>
      </c>
    </row>
    <row r="517" spans="1:6" ht="16.5" hidden="1" customHeight="1">
      <c r="A517" s="1">
        <v>0</v>
      </c>
      <c r="B517" s="1">
        <f>B81</f>
        <v>11</v>
      </c>
      <c r="C517" s="1">
        <v>0</v>
      </c>
      <c r="D517" s="1">
        <v>0</v>
      </c>
      <c r="E517" s="1">
        <v>0</v>
      </c>
      <c r="F517" s="1">
        <v>0</v>
      </c>
    </row>
    <row r="518" spans="1:6" ht="16.5" hidden="1" customHeight="1">
      <c r="A518" s="1">
        <v>0</v>
      </c>
      <c r="B518" s="1">
        <v>0</v>
      </c>
      <c r="C518" s="1">
        <f>C82</f>
        <v>12</v>
      </c>
      <c r="D518" s="1">
        <v>0</v>
      </c>
      <c r="E518" s="1">
        <v>0</v>
      </c>
      <c r="F518" s="1">
        <v>0</v>
      </c>
    </row>
    <row r="519" spans="1:6" ht="16.5" hidden="1" customHeight="1">
      <c r="A519" s="1">
        <v>0</v>
      </c>
      <c r="B519" s="1">
        <v>0</v>
      </c>
      <c r="C519" s="1">
        <v>0</v>
      </c>
      <c r="D519" s="1">
        <f>D83</f>
        <v>0</v>
      </c>
      <c r="E519" s="1">
        <v>0</v>
      </c>
      <c r="F519" s="1">
        <v>0</v>
      </c>
    </row>
    <row r="520" spans="1:6" ht="16.5" hidden="1" customHeight="1">
      <c r="A520" s="1">
        <v>0</v>
      </c>
      <c r="B520" s="1">
        <v>0</v>
      </c>
      <c r="C520" s="1">
        <v>0</v>
      </c>
      <c r="D520" s="1">
        <v>0</v>
      </c>
      <c r="E520" s="1">
        <f>E84</f>
        <v>0</v>
      </c>
      <c r="F520" s="1">
        <v>0</v>
      </c>
    </row>
    <row r="521" spans="1:6" ht="16.5" hidden="1" customHeight="1">
      <c r="A521" s="1">
        <v>0</v>
      </c>
      <c r="B521" s="1">
        <v>0</v>
      </c>
      <c r="C521" s="1">
        <v>0</v>
      </c>
      <c r="D521" s="1">
        <v>0</v>
      </c>
      <c r="E521" s="1">
        <v>0</v>
      </c>
      <c r="F521" s="1">
        <f>F85</f>
        <v>0</v>
      </c>
    </row>
    <row r="522" spans="1:6" ht="16.5" hidden="1" customHeight="1">
      <c r="A522" s="1" t="s">
        <v>66</v>
      </c>
    </row>
    <row r="523" spans="1:6" ht="16.5" hidden="1" customHeight="1">
      <c r="A523" s="1" t="e">
        <f>LN(MDETERM(A516:F521))-LN(MDETERM(A80:F85))</f>
        <v>#NUM!</v>
      </c>
    </row>
    <row r="524" spans="1:6" ht="16.5" hidden="1" customHeight="1">
      <c r="A524" s="1" t="s">
        <v>67</v>
      </c>
    </row>
    <row r="525" spans="1:6" ht="16.5" hidden="1" customHeight="1">
      <c r="A525" s="1" t="s">
        <v>35</v>
      </c>
      <c r="B525" s="1" t="s">
        <v>60</v>
      </c>
    </row>
    <row r="526" spans="1:6" ht="16.5" hidden="1" customHeight="1">
      <c r="A526" s="1">
        <v>2.1576321926552504</v>
      </c>
      <c r="B526" s="1">
        <v>5.3445860215116898</v>
      </c>
    </row>
    <row r="527" spans="1:6" ht="16.5" hidden="1" customHeight="1">
      <c r="A527" s="1">
        <v>2.4066356273293419</v>
      </c>
      <c r="B527" s="1">
        <v>5.2080599133298779</v>
      </c>
    </row>
    <row r="528" spans="1:6" ht="16.5" hidden="1" customHeight="1">
      <c r="A528" s="1">
        <v>2.6482087376646701</v>
      </c>
      <c r="B528" s="1">
        <v>4.9869361295806458</v>
      </c>
    </row>
    <row r="529" spans="1:7" ht="16.5" hidden="1" customHeight="1">
      <c r="A529" s="1">
        <v>3.0373873273453009</v>
      </c>
      <c r="B529" s="1">
        <v>3.774217416070083</v>
      </c>
    </row>
    <row r="530" spans="1:7" ht="16.5" hidden="1" customHeight="1">
      <c r="A530" s="1">
        <v>1.9918682060093291</v>
      </c>
      <c r="B530" s="1">
        <v>8.0324250314914547</v>
      </c>
    </row>
    <row r="531" spans="1:7" ht="16.5" hidden="1" customHeight="1">
      <c r="A531" s="1">
        <v>2.023792729492063</v>
      </c>
      <c r="B531" s="1">
        <v>5.9042284552061659</v>
      </c>
    </row>
    <row r="532" spans="1:7" ht="16.5" hidden="1" customHeight="1">
      <c r="A532" s="1">
        <v>2.03724335190054</v>
      </c>
      <c r="B532" s="1">
        <v>6.8496033960252829</v>
      </c>
    </row>
    <row r="533" spans="1:7" ht="16.5" hidden="1" customHeight="1">
      <c r="A533" s="1" t="s">
        <v>48</v>
      </c>
    </row>
    <row r="534" spans="1:7" ht="16.5" hidden="1" customHeight="1">
      <c r="A534" s="1">
        <f t="array" ref="A534:G534">TRANSPOSE(A526:A532)</f>
        <v>2.1576321926552504</v>
      </c>
      <c r="B534" s="1">
        <v>2.4066356273293419</v>
      </c>
      <c r="C534" s="1">
        <v>2.6482087376646701</v>
      </c>
      <c r="D534" s="1">
        <v>3.0373873273453009</v>
      </c>
      <c r="E534" s="1">
        <v>1.9918682060093291</v>
      </c>
      <c r="F534" s="1">
        <v>2.023792729492063</v>
      </c>
      <c r="G534" s="1">
        <v>2.03724335190054</v>
      </c>
    </row>
    <row r="535" spans="1:7" ht="16.5" hidden="1" customHeight="1">
      <c r="A535" s="1" t="s">
        <v>38</v>
      </c>
    </row>
    <row r="536" spans="1:7" ht="16.5" hidden="1" customHeight="1">
      <c r="A536" s="1">
        <f>$A526*A$534+B526</f>
        <v>9.9999627002939935</v>
      </c>
      <c r="B536" s="1">
        <f t="shared" ref="B536:G536" si="37">$A526*B$534</f>
        <v>5.1926345055168524</v>
      </c>
      <c r="C536" s="1">
        <f t="shared" si="37"/>
        <v>5.7138604252562146</v>
      </c>
      <c r="D536" s="1">
        <f t="shared" si="37"/>
        <v>6.5535646790433129</v>
      </c>
      <c r="E536" s="1">
        <f t="shared" si="37"/>
        <v>4.297718964812189</v>
      </c>
      <c r="F536" s="1">
        <f t="shared" si="37"/>
        <v>4.3666003444137136</v>
      </c>
      <c r="G536" s="1">
        <f t="shared" si="37"/>
        <v>4.3956218403334937</v>
      </c>
    </row>
    <row r="537" spans="1:7" ht="16.5" hidden="1" customHeight="1">
      <c r="A537" s="1">
        <f t="shared" ref="A537:G542" si="38">$A527*A$534</f>
        <v>5.1926345055168524</v>
      </c>
      <c r="B537" s="1">
        <f>$A527*B$534+B527</f>
        <v>10.999954956060773</v>
      </c>
      <c r="C537" s="1">
        <f t="shared" si="38"/>
        <v>6.3732734966686584</v>
      </c>
      <c r="D537" s="1">
        <f t="shared" si="38"/>
        <v>7.3098845559878516</v>
      </c>
      <c r="E537" s="1">
        <f t="shared" si="38"/>
        <v>4.7937009895266325</v>
      </c>
      <c r="F537" s="1">
        <f t="shared" si="38"/>
        <v>4.8705316851256919</v>
      </c>
      <c r="G537" s="1">
        <f t="shared" si="38"/>
        <v>4.9029024322236872</v>
      </c>
    </row>
    <row r="538" spans="1:7" ht="16.5" hidden="1" customHeight="1">
      <c r="A538" s="1">
        <f t="shared" si="38"/>
        <v>5.7138604252562146</v>
      </c>
      <c r="B538" s="1">
        <f t="shared" si="38"/>
        <v>6.3732734966686584</v>
      </c>
      <c r="C538" s="1">
        <f>$A528*C$534+B528</f>
        <v>11.999945647824152</v>
      </c>
      <c r="D538" s="1">
        <f t="shared" si="38"/>
        <v>8.0436356599477659</v>
      </c>
      <c r="E538" s="1">
        <f t="shared" si="38"/>
        <v>5.2748827874303563</v>
      </c>
      <c r="F538" s="1">
        <f t="shared" si="38"/>
        <v>5.3594255894631138</v>
      </c>
      <c r="G538" s="1">
        <f t="shared" si="38"/>
        <v>5.3950456452522699</v>
      </c>
    </row>
    <row r="539" spans="1:7" ht="16.5" hidden="1" customHeight="1">
      <c r="A539" s="1">
        <f t="shared" si="38"/>
        <v>6.5535646790433129</v>
      </c>
      <c r="B539" s="1">
        <f t="shared" si="38"/>
        <v>7.3098845559878516</v>
      </c>
      <c r="C539" s="1">
        <f t="shared" si="38"/>
        <v>8.0436356599477659</v>
      </c>
      <c r="D539" s="1">
        <f>$A529*D$534+B529</f>
        <v>12.999939192387913</v>
      </c>
      <c r="E539" s="1">
        <f t="shared" si="38"/>
        <v>6.0500752466747558</v>
      </c>
      <c r="F539" s="1">
        <f t="shared" si="38"/>
        <v>6.1470423897327491</v>
      </c>
      <c r="G539" s="1">
        <f t="shared" si="38"/>
        <v>6.1878971397811631</v>
      </c>
    </row>
    <row r="540" spans="1:7" ht="16.5" hidden="1" customHeight="1">
      <c r="A540" s="1">
        <f t="shared" si="38"/>
        <v>4.297718964812189</v>
      </c>
      <c r="B540" s="1">
        <f t="shared" si="38"/>
        <v>4.7937009895266325</v>
      </c>
      <c r="C540" s="1">
        <f t="shared" si="38"/>
        <v>5.2748827874303563</v>
      </c>
      <c r="D540" s="1">
        <f t="shared" si="38"/>
        <v>6.0500752466747558</v>
      </c>
      <c r="E540" s="1">
        <f>$A530*E$534+B530</f>
        <v>11.999963981602278</v>
      </c>
      <c r="F540" s="1">
        <f t="shared" si="38"/>
        <v>4.0311283934280793</v>
      </c>
      <c r="G540" s="1">
        <f t="shared" si="38"/>
        <v>4.0579202605545612</v>
      </c>
    </row>
    <row r="541" spans="1:7" ht="16.5" hidden="1" customHeight="1">
      <c r="A541" s="1">
        <f t="shared" si="38"/>
        <v>4.3666003444137136</v>
      </c>
      <c r="B541" s="1">
        <f t="shared" si="38"/>
        <v>4.8705316851256919</v>
      </c>
      <c r="C541" s="1">
        <f t="shared" si="38"/>
        <v>5.3594255894631138</v>
      </c>
      <c r="D541" s="1">
        <f t="shared" si="38"/>
        <v>6.1470423897327491</v>
      </c>
      <c r="E541" s="1">
        <f t="shared" si="38"/>
        <v>4.0311283934280793</v>
      </c>
      <c r="F541" s="1">
        <f>$A531*F$534+B531</f>
        <v>9.9999654671510996</v>
      </c>
      <c r="G541" s="1">
        <f t="shared" si="38"/>
        <v>4.1229582837823529</v>
      </c>
    </row>
    <row r="542" spans="1:7" ht="16.5" hidden="1" customHeight="1">
      <c r="A542" s="1">
        <f t="shared" si="38"/>
        <v>4.3956218403334937</v>
      </c>
      <c r="B542" s="1">
        <f t="shared" si="38"/>
        <v>4.9029024322236872</v>
      </c>
      <c r="C542" s="1">
        <f t="shared" si="38"/>
        <v>5.3950456452522699</v>
      </c>
      <c r="D542" s="1">
        <f t="shared" si="38"/>
        <v>6.1878971397811631</v>
      </c>
      <c r="E542" s="1">
        <f t="shared" si="38"/>
        <v>4.0579202605545612</v>
      </c>
      <c r="F542" s="1">
        <f t="shared" si="38"/>
        <v>4.1229582837823529</v>
      </c>
      <c r="G542" s="1">
        <f>$A532*G$534+B532</f>
        <v>10.99996387088823</v>
      </c>
    </row>
    <row r="543" spans="1:7" ht="16.5" hidden="1" customHeight="1">
      <c r="A543" s="1" t="s">
        <v>61</v>
      </c>
    </row>
    <row r="544" spans="1:7" ht="16.5" hidden="1" customHeight="1">
      <c r="A544" s="1">
        <f t="array" ref="A544:G550">MINVERSE(A536:G542)</f>
        <v>0.16821457260723</v>
      </c>
      <c r="B544" s="1">
        <v>-2.1623107795657515E-2</v>
      </c>
      <c r="C544" s="1">
        <v>-2.4848612960768502E-2</v>
      </c>
      <c r="D544" s="1">
        <v>-3.7657978724826076E-2</v>
      </c>
      <c r="E544" s="1">
        <v>-1.1603731260046509E-2</v>
      </c>
      <c r="F544" s="1">
        <v>-1.6039344716075425E-2</v>
      </c>
      <c r="G544" s="1">
        <v>-1.3917499900949841E-2</v>
      </c>
    </row>
    <row r="545" spans="1:7" ht="16.5" hidden="1" customHeight="1">
      <c r="A545" s="1">
        <v>-2.1623107795657494E-2</v>
      </c>
      <c r="B545" s="1">
        <v>0.16725928554985167</v>
      </c>
      <c r="C545" s="1">
        <v>-2.8442854500707306E-2</v>
      </c>
      <c r="D545" s="1">
        <v>-4.3105038150500923E-2</v>
      </c>
      <c r="E545" s="1">
        <v>-1.3282159467648776E-2</v>
      </c>
      <c r="F545" s="1">
        <v>-1.8359364716504956E-2</v>
      </c>
      <c r="G545" s="1">
        <v>-1.5930604469605859E-2</v>
      </c>
    </row>
    <row r="546" spans="1:7" ht="16.5" hidden="1" customHeight="1">
      <c r="A546" s="1">
        <v>-2.4848612960768512E-2</v>
      </c>
      <c r="B546" s="1">
        <v>-2.8442854500707312E-2</v>
      </c>
      <c r="C546" s="1">
        <v>0.16783826678947328</v>
      </c>
      <c r="D546" s="1">
        <v>-4.9534989132138697E-2</v>
      </c>
      <c r="E546" s="1">
        <v>-1.5263450703468863E-2</v>
      </c>
      <c r="F546" s="1">
        <v>-2.1098019413177974E-2</v>
      </c>
      <c r="G546" s="1">
        <v>-1.8306962553080477E-2</v>
      </c>
    </row>
    <row r="547" spans="1:7" ht="16.5" hidden="1" customHeight="1">
      <c r="A547" s="1">
        <v>-3.765797872482609E-2</v>
      </c>
      <c r="B547" s="1">
        <v>-4.3105038150500923E-2</v>
      </c>
      <c r="C547" s="1">
        <v>-4.9534989132138711E-2</v>
      </c>
      <c r="D547" s="1">
        <v>0.18988550118990849</v>
      </c>
      <c r="E547" s="1">
        <v>-2.3131701667459391E-2</v>
      </c>
      <c r="F547" s="1">
        <v>-3.1973968424386878E-2</v>
      </c>
      <c r="G547" s="1">
        <v>-2.7744132335617126E-2</v>
      </c>
    </row>
    <row r="548" spans="1:7" ht="16.5" hidden="1" customHeight="1">
      <c r="A548" s="1">
        <v>-1.1603731260046506E-2</v>
      </c>
      <c r="B548" s="1">
        <v>-1.3282159467648774E-2</v>
      </c>
      <c r="C548" s="1">
        <v>-1.5263450703468863E-2</v>
      </c>
      <c r="D548" s="1">
        <v>-2.3131701667459394E-2</v>
      </c>
      <c r="E548" s="1">
        <v>0.11736772333336455</v>
      </c>
      <c r="F548" s="1">
        <v>-9.8522902576607084E-3</v>
      </c>
      <c r="G548" s="1">
        <v>-8.5489308392813837E-3</v>
      </c>
    </row>
    <row r="549" spans="1:7" ht="16.5" hidden="1" customHeight="1">
      <c r="A549" s="1">
        <v>-1.6039344716075422E-2</v>
      </c>
      <c r="B549" s="1">
        <v>-1.8359364716504952E-2</v>
      </c>
      <c r="C549" s="1">
        <v>-2.1098019413177967E-2</v>
      </c>
      <c r="D549" s="1">
        <v>-3.1973968424386892E-2</v>
      </c>
      <c r="E549" s="1">
        <v>-9.8522902576607101E-3</v>
      </c>
      <c r="F549" s="1">
        <v>0.15575173775999673</v>
      </c>
      <c r="G549" s="1">
        <v>-1.1816823882956119E-2</v>
      </c>
    </row>
    <row r="550" spans="1:7" ht="16.5" hidden="1" customHeight="1">
      <c r="A550" s="1">
        <v>-1.3917499900949858E-2</v>
      </c>
      <c r="B550" s="1">
        <v>-1.5930604469605841E-2</v>
      </c>
      <c r="C550" s="1">
        <v>-1.8306962553080491E-2</v>
      </c>
      <c r="D550" s="1">
        <v>-2.7744132335617108E-2</v>
      </c>
      <c r="E550" s="1">
        <v>-8.548930839281382E-3</v>
      </c>
      <c r="F550" s="1">
        <v>-1.1816823882956124E-2</v>
      </c>
      <c r="G550" s="1">
        <v>0.13574027794582286</v>
      </c>
    </row>
    <row r="551" spans="1:7" ht="16.5" hidden="1" customHeight="1">
      <c r="A551" s="1" t="s">
        <v>54</v>
      </c>
    </row>
    <row r="552" spans="1:7" ht="16.5" hidden="1" customHeight="1">
      <c r="A552" s="1" t="e">
        <f t="array" ref="A552:G558">MMULT(A80:G86,A544:G550)</f>
        <v>#VALUE!</v>
      </c>
      <c r="B552" s="1" t="e">
        <v>#VALUE!</v>
      </c>
      <c r="C552" s="1" t="e">
        <v>#VALUE!</v>
      </c>
      <c r="D552" s="1" t="e">
        <v>#VALUE!</v>
      </c>
      <c r="E552" s="1" t="e">
        <v>#VALUE!</v>
      </c>
      <c r="F552" s="1" t="e">
        <v>#VALUE!</v>
      </c>
      <c r="G552" s="1" t="e">
        <v>#VALUE!</v>
      </c>
    </row>
    <row r="553" spans="1:7" ht="16.5" hidden="1" customHeight="1">
      <c r="A553" s="1" t="e">
        <v>#VALUE!</v>
      </c>
      <c r="B553" s="1" t="e">
        <v>#VALUE!</v>
      </c>
      <c r="C553" s="1" t="e">
        <v>#VALUE!</v>
      </c>
      <c r="D553" s="1" t="e">
        <v>#VALUE!</v>
      </c>
      <c r="E553" s="1" t="e">
        <v>#VALUE!</v>
      </c>
      <c r="F553" s="1" t="e">
        <v>#VALUE!</v>
      </c>
      <c r="G553" s="1" t="e">
        <v>#VALUE!</v>
      </c>
    </row>
    <row r="554" spans="1:7" ht="16.5" hidden="1" customHeight="1">
      <c r="A554" s="1" t="e">
        <v>#VALUE!</v>
      </c>
      <c r="B554" s="1" t="e">
        <v>#VALUE!</v>
      </c>
      <c r="C554" s="1" t="e">
        <v>#VALUE!</v>
      </c>
      <c r="D554" s="1" t="e">
        <v>#VALUE!</v>
      </c>
      <c r="E554" s="1" t="e">
        <v>#VALUE!</v>
      </c>
      <c r="F554" s="1" t="e">
        <v>#VALUE!</v>
      </c>
      <c r="G554" s="1" t="e">
        <v>#VALUE!</v>
      </c>
    </row>
    <row r="555" spans="1:7" ht="16.5" hidden="1" customHeight="1">
      <c r="A555" s="1" t="e">
        <v>#VALUE!</v>
      </c>
      <c r="B555" s="1" t="e">
        <v>#VALUE!</v>
      </c>
      <c r="C555" s="1" t="e">
        <v>#VALUE!</v>
      </c>
      <c r="D555" s="1" t="e">
        <v>#VALUE!</v>
      </c>
      <c r="E555" s="1" t="e">
        <v>#VALUE!</v>
      </c>
      <c r="F555" s="1" t="e">
        <v>#VALUE!</v>
      </c>
      <c r="G555" s="1" t="e">
        <v>#VALUE!</v>
      </c>
    </row>
    <row r="556" spans="1:7" ht="16.5" hidden="1" customHeight="1">
      <c r="A556" s="1" t="e">
        <v>#VALUE!</v>
      </c>
      <c r="B556" s="1" t="e">
        <v>#VALUE!</v>
      </c>
      <c r="C556" s="1" t="e">
        <v>#VALUE!</v>
      </c>
      <c r="D556" s="1" t="e">
        <v>#VALUE!</v>
      </c>
      <c r="E556" s="1" t="e">
        <v>#VALUE!</v>
      </c>
      <c r="F556" s="1" t="e">
        <v>#VALUE!</v>
      </c>
      <c r="G556" s="1" t="e">
        <v>#VALUE!</v>
      </c>
    </row>
    <row r="557" spans="1:7" ht="16.5" hidden="1" customHeight="1">
      <c r="A557" s="1" t="e">
        <v>#VALUE!</v>
      </c>
      <c r="B557" s="1" t="e">
        <v>#VALUE!</v>
      </c>
      <c r="C557" s="1" t="e">
        <v>#VALUE!</v>
      </c>
      <c r="D557" s="1" t="e">
        <v>#VALUE!</v>
      </c>
      <c r="E557" s="1" t="e">
        <v>#VALUE!</v>
      </c>
      <c r="F557" s="1" t="e">
        <v>#VALUE!</v>
      </c>
      <c r="G557" s="1" t="e">
        <v>#VALUE!</v>
      </c>
    </row>
    <row r="558" spans="1:7" ht="16.5" hidden="1" customHeight="1">
      <c r="A558" s="1" t="e">
        <v>#VALUE!</v>
      </c>
      <c r="B558" s="1" t="e">
        <v>#VALUE!</v>
      </c>
      <c r="C558" s="1" t="e">
        <v>#VALUE!</v>
      </c>
      <c r="D558" s="1" t="e">
        <v>#VALUE!</v>
      </c>
      <c r="E558" s="1" t="e">
        <v>#VALUE!</v>
      </c>
      <c r="F558" s="1" t="e">
        <v>#VALUE!</v>
      </c>
      <c r="G558" s="1" t="e">
        <v>#VALUE!</v>
      </c>
    </row>
    <row r="559" spans="1:7" ht="16.5" hidden="1" customHeight="1">
      <c r="A559" s="1" t="s">
        <v>41</v>
      </c>
    </row>
    <row r="560" spans="1:7" ht="16.5" hidden="1" customHeight="1">
      <c r="A560" s="1" t="e">
        <f>LN(MDETERM(A536:G542))+SUM(A552,B553,C554,D555,E556,F557,G558)-LN(MDETERM(A80:G86))-7</f>
        <v>#VALUE!</v>
      </c>
    </row>
    <row r="561" spans="1:7" ht="16.5" hidden="1" customHeight="1">
      <c r="A561" s="1" t="e">
        <f>MIN($A$560)</f>
        <v>#VALUE!</v>
      </c>
    </row>
    <row r="562" spans="1:7" ht="16.5" hidden="1" customHeight="1">
      <c r="A562" s="1">
        <f>COUNT($A$526,$A$527,$A$528,$A$529,$A$530,$A$531,$A$532,$B$526,$B$527,$B$528,$B$529,$B$530,$B$531,$B$532)</f>
        <v>14</v>
      </c>
    </row>
    <row r="563" spans="1:7" ht="16.5" hidden="1" customHeight="1">
      <c r="A563" s="1">
        <f>{32767,32767,0.000001,0.01,FALSE,FALSE,TRUE,1,1,1,0.0001,TRUE}</f>
        <v>32767</v>
      </c>
    </row>
    <row r="564" spans="1:7" ht="16.5" hidden="1" customHeight="1">
      <c r="A564" s="1">
        <f>{0,0,1,100,0,FALSE,TRUE,0.075,0,0,FALSE,30}</f>
        <v>0</v>
      </c>
    </row>
    <row r="565" spans="1:7" ht="16.5" hidden="1" customHeight="1">
      <c r="A565" s="1" t="s">
        <v>67</v>
      </c>
    </row>
    <row r="566" spans="1:7" ht="16.5" hidden="1" customHeight="1">
      <c r="A566" s="1" t="s">
        <v>63</v>
      </c>
      <c r="B566" s="1" t="s">
        <v>52</v>
      </c>
      <c r="C566" s="1" t="s">
        <v>53</v>
      </c>
      <c r="D566" s="1">
        <v>2.3546655152870106</v>
      </c>
    </row>
    <row r="567" spans="1:7" ht="16.5" hidden="1" customHeight="1">
      <c r="B567" s="1">
        <v>5.1682129686151415</v>
      </c>
    </row>
    <row r="568" spans="1:7" ht="16.5" hidden="1" customHeight="1">
      <c r="B568" s="1">
        <v>5.4712484556462764</v>
      </c>
    </row>
    <row r="569" spans="1:7" ht="16.5" hidden="1" customHeight="1">
      <c r="B569" s="1">
        <v>5.7241666769251323</v>
      </c>
    </row>
    <row r="570" spans="1:7" ht="16.5" hidden="1" customHeight="1">
      <c r="B570" s="1">
        <v>5.3023293456887188</v>
      </c>
    </row>
    <row r="571" spans="1:7" ht="16.5" hidden="1" customHeight="1">
      <c r="B571" s="1">
        <v>7.4985792648405605</v>
      </c>
    </row>
    <row r="572" spans="1:7" ht="16.5" hidden="1" customHeight="1">
      <c r="B572" s="1">
        <v>5.2760537831384982</v>
      </c>
    </row>
    <row r="573" spans="1:7" ht="16.5" hidden="1" customHeight="1">
      <c r="B573" s="1">
        <v>7.1606481612695401</v>
      </c>
    </row>
    <row r="574" spans="1:7" ht="16.5" hidden="1" customHeight="1">
      <c r="A574" s="1" t="s">
        <v>38</v>
      </c>
    </row>
    <row r="575" spans="1:7" ht="16.5" hidden="1" customHeight="1">
      <c r="A575" s="1">
        <f>$D$566^2+B567</f>
        <v>10.712662657496985</v>
      </c>
      <c r="B575" s="1">
        <f t="shared" ref="B575:G575" si="39">$D$566^2</f>
        <v>5.5444496888818433</v>
      </c>
      <c r="C575" s="1">
        <f t="shared" si="39"/>
        <v>5.5444496888818433</v>
      </c>
      <c r="D575" s="1">
        <f t="shared" si="39"/>
        <v>5.5444496888818433</v>
      </c>
      <c r="E575" s="1">
        <f t="shared" si="39"/>
        <v>5.5444496888818433</v>
      </c>
      <c r="F575" s="1">
        <f t="shared" si="39"/>
        <v>5.5444496888818433</v>
      </c>
      <c r="G575" s="1">
        <f t="shared" si="39"/>
        <v>5.5444496888818433</v>
      </c>
    </row>
    <row r="576" spans="1:7" ht="16.5" hidden="1" customHeight="1">
      <c r="A576" s="1">
        <f t="shared" ref="A576:G581" si="40">$D$566^2</f>
        <v>5.5444496888818433</v>
      </c>
      <c r="B576" s="1">
        <f>$D$566^2+B568</f>
        <v>11.01569814452812</v>
      </c>
      <c r="C576" s="1">
        <f t="shared" si="40"/>
        <v>5.5444496888818433</v>
      </c>
      <c r="D576" s="1">
        <f t="shared" si="40"/>
        <v>5.5444496888818433</v>
      </c>
      <c r="E576" s="1">
        <f t="shared" si="40"/>
        <v>5.5444496888818433</v>
      </c>
      <c r="F576" s="1">
        <f t="shared" si="40"/>
        <v>5.5444496888818433</v>
      </c>
      <c r="G576" s="1">
        <f t="shared" si="40"/>
        <v>5.5444496888818433</v>
      </c>
    </row>
    <row r="577" spans="1:7" ht="16.5" hidden="1" customHeight="1">
      <c r="A577" s="1">
        <f t="shared" si="40"/>
        <v>5.5444496888818433</v>
      </c>
      <c r="B577" s="1">
        <f t="shared" si="40"/>
        <v>5.5444496888818433</v>
      </c>
      <c r="C577" s="1">
        <f>$D$566^2+B569</f>
        <v>11.268616365806976</v>
      </c>
      <c r="D577" s="1">
        <f t="shared" si="40"/>
        <v>5.5444496888818433</v>
      </c>
      <c r="E577" s="1">
        <f t="shared" si="40"/>
        <v>5.5444496888818433</v>
      </c>
      <c r="F577" s="1">
        <f t="shared" si="40"/>
        <v>5.5444496888818433</v>
      </c>
      <c r="G577" s="1">
        <f t="shared" si="40"/>
        <v>5.5444496888818433</v>
      </c>
    </row>
    <row r="578" spans="1:7" ht="16.5" hidden="1" customHeight="1">
      <c r="A578" s="1">
        <f t="shared" si="40"/>
        <v>5.5444496888818433</v>
      </c>
      <c r="B578" s="1">
        <f t="shared" si="40"/>
        <v>5.5444496888818433</v>
      </c>
      <c r="C578" s="1">
        <f t="shared" si="40"/>
        <v>5.5444496888818433</v>
      </c>
      <c r="D578" s="1">
        <f>$D$566^2+B570</f>
        <v>10.846779034570563</v>
      </c>
      <c r="E578" s="1">
        <f t="shared" si="40"/>
        <v>5.5444496888818433</v>
      </c>
      <c r="F578" s="1">
        <f t="shared" si="40"/>
        <v>5.5444496888818433</v>
      </c>
      <c r="G578" s="1">
        <f t="shared" si="40"/>
        <v>5.5444496888818433</v>
      </c>
    </row>
    <row r="579" spans="1:7" ht="16.5" hidden="1" customHeight="1">
      <c r="A579" s="1">
        <f t="shared" si="40"/>
        <v>5.5444496888818433</v>
      </c>
      <c r="B579" s="1">
        <f t="shared" si="40"/>
        <v>5.5444496888818433</v>
      </c>
      <c r="C579" s="1">
        <f t="shared" si="40"/>
        <v>5.5444496888818433</v>
      </c>
      <c r="D579" s="1">
        <f t="shared" si="40"/>
        <v>5.5444496888818433</v>
      </c>
      <c r="E579" s="1">
        <f>$D$566^2+B571</f>
        <v>13.043028953722404</v>
      </c>
      <c r="F579" s="1">
        <f t="shared" si="40"/>
        <v>5.5444496888818433</v>
      </c>
      <c r="G579" s="1">
        <f t="shared" si="40"/>
        <v>5.5444496888818433</v>
      </c>
    </row>
    <row r="580" spans="1:7" ht="16.5" hidden="1" customHeight="1">
      <c r="A580" s="1">
        <f t="shared" si="40"/>
        <v>5.5444496888818433</v>
      </c>
      <c r="B580" s="1">
        <f t="shared" si="40"/>
        <v>5.5444496888818433</v>
      </c>
      <c r="C580" s="1">
        <f t="shared" si="40"/>
        <v>5.5444496888818433</v>
      </c>
      <c r="D580" s="1">
        <f t="shared" si="40"/>
        <v>5.5444496888818433</v>
      </c>
      <c r="E580" s="1">
        <f t="shared" si="40"/>
        <v>5.5444496888818433</v>
      </c>
      <c r="F580" s="1">
        <f>$D$566^2+B572</f>
        <v>10.820503472020341</v>
      </c>
      <c r="G580" s="1">
        <f t="shared" si="40"/>
        <v>5.5444496888818433</v>
      </c>
    </row>
    <row r="581" spans="1:7" ht="16.5" hidden="1" customHeight="1">
      <c r="A581" s="1">
        <f t="shared" si="40"/>
        <v>5.5444496888818433</v>
      </c>
      <c r="B581" s="1">
        <f t="shared" si="40"/>
        <v>5.5444496888818433</v>
      </c>
      <c r="C581" s="1">
        <f t="shared" si="40"/>
        <v>5.5444496888818433</v>
      </c>
      <c r="D581" s="1">
        <f t="shared" si="40"/>
        <v>5.5444496888818433</v>
      </c>
      <c r="E581" s="1">
        <f t="shared" si="40"/>
        <v>5.5444496888818433</v>
      </c>
      <c r="F581" s="1">
        <f t="shared" si="40"/>
        <v>5.5444496888818433</v>
      </c>
      <c r="G581" s="1">
        <f>$D$566^2+B573</f>
        <v>12.705097850151382</v>
      </c>
    </row>
    <row r="582" spans="1:7" ht="16.5" hidden="1" customHeight="1">
      <c r="A582" s="1" t="s">
        <v>61</v>
      </c>
    </row>
    <row r="583" spans="1:7" ht="16.5" hidden="1" customHeight="1">
      <c r="A583" s="1">
        <f t="array" ref="A583:G589">MINVERSE(A575:G581)</f>
        <v>0.16640946219200478</v>
      </c>
      <c r="B583" s="1">
        <v>-2.5581082733424725E-2</v>
      </c>
      <c r="C583" s="1">
        <v>-2.4450800841144021E-2</v>
      </c>
      <c r="D583" s="1">
        <v>-2.6396032813919858E-2</v>
      </c>
      <c r="E583" s="1">
        <v>-1.8664930309566525E-2</v>
      </c>
      <c r="F583" s="1">
        <v>-2.6527489133318347E-2</v>
      </c>
      <c r="G583" s="1">
        <v>-1.9545780807389307E-2</v>
      </c>
    </row>
    <row r="584" spans="1:7" ht="16.5" hidden="1" customHeight="1">
      <c r="A584" s="1">
        <v>-2.5581082733424715E-2</v>
      </c>
      <c r="B584" s="1">
        <v>0.15860941492619382</v>
      </c>
      <c r="C584" s="1">
        <v>-2.3096546798165786E-2</v>
      </c>
      <c r="D584" s="1">
        <v>-2.4934038403631061E-2</v>
      </c>
      <c r="E584" s="1">
        <v>-1.7631137694843532E-2</v>
      </c>
      <c r="F584" s="1">
        <v>-2.5058213765110131E-2</v>
      </c>
      <c r="G584" s="1">
        <v>-1.8463200614881596E-2</v>
      </c>
    </row>
    <row r="585" spans="1:7" ht="16.5" hidden="1" customHeight="1">
      <c r="A585" s="1">
        <v>-2.4450800841144035E-2</v>
      </c>
      <c r="B585" s="1">
        <v>-2.3096546798165796E-2</v>
      </c>
      <c r="C585" s="1">
        <v>0.15262187551622192</v>
      </c>
      <c r="D585" s="1">
        <v>-2.383234570349246E-2</v>
      </c>
      <c r="E585" s="1">
        <v>-1.6852118452989839E-2</v>
      </c>
      <c r="F585" s="1">
        <v>-2.3951034465205231E-2</v>
      </c>
      <c r="G585" s="1">
        <v>-1.7647417266459089E-2</v>
      </c>
    </row>
    <row r="586" spans="1:7" ht="16.5" hidden="1" customHeight="1">
      <c r="A586" s="1">
        <v>-2.6396032813919855E-2</v>
      </c>
      <c r="B586" s="1">
        <v>-2.4934038403631065E-2</v>
      </c>
      <c r="C586" s="1">
        <v>-2.3832345703492467E-2</v>
      </c>
      <c r="D586" s="1">
        <v>0.16286798208664235</v>
      </c>
      <c r="E586" s="1">
        <v>-1.819282217213344E-2</v>
      </c>
      <c r="F586" s="1">
        <v>-2.585650653237671E-2</v>
      </c>
      <c r="G586" s="1">
        <v>-1.9051392560628887E-2</v>
      </c>
    </row>
    <row r="587" spans="1:7" ht="16.5" hidden="1" customHeight="1">
      <c r="A587" s="1">
        <v>-1.8664930309566525E-2</v>
      </c>
      <c r="B587" s="1">
        <v>-1.7631137694843535E-2</v>
      </c>
      <c r="C587" s="1">
        <v>-1.6852118452989836E-2</v>
      </c>
      <c r="D587" s="1">
        <v>-1.819282217213344E-2</v>
      </c>
      <c r="E587" s="1">
        <v>0.12049424740394632</v>
      </c>
      <c r="F587" s="1">
        <v>-1.8283425235824088E-2</v>
      </c>
      <c r="G587" s="1">
        <v>-1.347145296231075E-2</v>
      </c>
    </row>
    <row r="588" spans="1:7" ht="16.5" hidden="1" customHeight="1">
      <c r="A588" s="1">
        <v>-2.652748913331834E-2</v>
      </c>
      <c r="B588" s="1">
        <v>-2.5058213765110138E-2</v>
      </c>
      <c r="C588" s="1">
        <v>-2.3951034465205228E-2</v>
      </c>
      <c r="D588" s="1">
        <v>-2.5856506532376707E-2</v>
      </c>
      <c r="E588" s="1">
        <v>-1.8283425235824085E-2</v>
      </c>
      <c r="F588" s="1">
        <v>0.16355032039174638</v>
      </c>
      <c r="G588" s="1">
        <v>-1.9146271437431747E-2</v>
      </c>
    </row>
    <row r="589" spans="1:7" ht="16.5" hidden="1" customHeight="1">
      <c r="A589" s="1">
        <v>-1.95457808073893E-2</v>
      </c>
      <c r="B589" s="1">
        <v>-1.8463200614881596E-2</v>
      </c>
      <c r="C589" s="1">
        <v>-1.7647417266459086E-2</v>
      </c>
      <c r="D589" s="1">
        <v>-1.9051392560628887E-2</v>
      </c>
      <c r="E589" s="1">
        <v>-1.347145296231075E-2</v>
      </c>
      <c r="F589" s="1">
        <v>-1.9146271437431747E-2</v>
      </c>
      <c r="G589" s="1">
        <v>0.12554495373923769</v>
      </c>
    </row>
    <row r="590" spans="1:7" ht="16.5" hidden="1" customHeight="1">
      <c r="A590" s="1" t="s">
        <v>54</v>
      </c>
    </row>
    <row r="591" spans="1:7" ht="16.5" hidden="1" customHeight="1">
      <c r="A591" s="1" t="e">
        <f t="array" ref="A591:G597">MMULT(A80:G86,A583:G589)</f>
        <v>#VALUE!</v>
      </c>
      <c r="B591" s="1" t="e">
        <v>#VALUE!</v>
      </c>
      <c r="C591" s="1" t="e">
        <v>#VALUE!</v>
      </c>
      <c r="D591" s="1" t="e">
        <v>#VALUE!</v>
      </c>
      <c r="E591" s="1" t="e">
        <v>#VALUE!</v>
      </c>
      <c r="F591" s="1" t="e">
        <v>#VALUE!</v>
      </c>
      <c r="G591" s="1" t="e">
        <v>#VALUE!</v>
      </c>
    </row>
    <row r="592" spans="1:7" ht="16.5" hidden="1" customHeight="1">
      <c r="A592" s="1" t="e">
        <v>#VALUE!</v>
      </c>
      <c r="B592" s="1" t="e">
        <v>#VALUE!</v>
      </c>
      <c r="C592" s="1" t="e">
        <v>#VALUE!</v>
      </c>
      <c r="D592" s="1" t="e">
        <v>#VALUE!</v>
      </c>
      <c r="E592" s="1" t="e">
        <v>#VALUE!</v>
      </c>
      <c r="F592" s="1" t="e">
        <v>#VALUE!</v>
      </c>
      <c r="G592" s="1" t="e">
        <v>#VALUE!</v>
      </c>
    </row>
    <row r="593" spans="1:7" ht="16.5" hidden="1" customHeight="1">
      <c r="A593" s="1" t="e">
        <v>#VALUE!</v>
      </c>
      <c r="B593" s="1" t="e">
        <v>#VALUE!</v>
      </c>
      <c r="C593" s="1" t="e">
        <v>#VALUE!</v>
      </c>
      <c r="D593" s="1" t="e">
        <v>#VALUE!</v>
      </c>
      <c r="E593" s="1" t="e">
        <v>#VALUE!</v>
      </c>
      <c r="F593" s="1" t="e">
        <v>#VALUE!</v>
      </c>
      <c r="G593" s="1" t="e">
        <v>#VALUE!</v>
      </c>
    </row>
    <row r="594" spans="1:7" ht="16.5" hidden="1" customHeight="1">
      <c r="A594" s="1" t="e">
        <v>#VALUE!</v>
      </c>
      <c r="B594" s="1" t="e">
        <v>#VALUE!</v>
      </c>
      <c r="C594" s="1" t="e">
        <v>#VALUE!</v>
      </c>
      <c r="D594" s="1" t="e">
        <v>#VALUE!</v>
      </c>
      <c r="E594" s="1" t="e">
        <v>#VALUE!</v>
      </c>
      <c r="F594" s="1" t="e">
        <v>#VALUE!</v>
      </c>
      <c r="G594" s="1" t="e">
        <v>#VALUE!</v>
      </c>
    </row>
    <row r="595" spans="1:7" ht="16.5" hidden="1" customHeight="1">
      <c r="A595" s="1" t="e">
        <v>#VALUE!</v>
      </c>
      <c r="B595" s="1" t="e">
        <v>#VALUE!</v>
      </c>
      <c r="C595" s="1" t="e">
        <v>#VALUE!</v>
      </c>
      <c r="D595" s="1" t="e">
        <v>#VALUE!</v>
      </c>
      <c r="E595" s="1" t="e">
        <v>#VALUE!</v>
      </c>
      <c r="F595" s="1" t="e">
        <v>#VALUE!</v>
      </c>
      <c r="G595" s="1" t="e">
        <v>#VALUE!</v>
      </c>
    </row>
    <row r="596" spans="1:7" ht="16.5" hidden="1" customHeight="1">
      <c r="A596" s="1" t="e">
        <v>#VALUE!</v>
      </c>
      <c r="B596" s="1" t="e">
        <v>#VALUE!</v>
      </c>
      <c r="C596" s="1" t="e">
        <v>#VALUE!</v>
      </c>
      <c r="D596" s="1" t="e">
        <v>#VALUE!</v>
      </c>
      <c r="E596" s="1" t="e">
        <v>#VALUE!</v>
      </c>
      <c r="F596" s="1" t="e">
        <v>#VALUE!</v>
      </c>
      <c r="G596" s="1" t="e">
        <v>#VALUE!</v>
      </c>
    </row>
    <row r="597" spans="1:7" ht="16.5" hidden="1" customHeight="1">
      <c r="A597" s="1" t="e">
        <v>#VALUE!</v>
      </c>
      <c r="B597" s="1" t="e">
        <v>#VALUE!</v>
      </c>
      <c r="C597" s="1" t="e">
        <v>#VALUE!</v>
      </c>
      <c r="D597" s="1" t="e">
        <v>#VALUE!</v>
      </c>
      <c r="E597" s="1" t="e">
        <v>#VALUE!</v>
      </c>
      <c r="F597" s="1" t="e">
        <v>#VALUE!</v>
      </c>
      <c r="G597" s="1" t="e">
        <v>#VALUE!</v>
      </c>
    </row>
    <row r="598" spans="1:7" ht="16.5" hidden="1" customHeight="1">
      <c r="A598" s="1" t="s">
        <v>41</v>
      </c>
    </row>
    <row r="599" spans="1:7" ht="16.5" hidden="1" customHeight="1">
      <c r="A599" s="1" t="e">
        <f>LN(MDETERM(A575:G581))+SUM(A591,B592,C593,D594,E595,F596,G597)-LN(MDETERM(A80:G86))-7</f>
        <v>#VALUE!</v>
      </c>
    </row>
    <row r="600" spans="1:7" ht="16.5" hidden="1" customHeight="1">
      <c r="A600" s="1" t="e">
        <f>MIN($A$599)</f>
        <v>#VALUE!</v>
      </c>
    </row>
    <row r="601" spans="1:7" ht="16.5" hidden="1" customHeight="1">
      <c r="A601" s="1">
        <f>COUNT($B$567,$B$568,$B$569,$B$570,$B$571,$B$572,$B$573,$D$566)</f>
        <v>8</v>
      </c>
    </row>
    <row r="602" spans="1:7" ht="16.5" hidden="1" customHeight="1">
      <c r="A602" s="1">
        <f>{32767,32767,0.000001,0.01,FALSE,FALSE,TRUE,1,1,1,0.0001,TRUE}</f>
        <v>32767</v>
      </c>
    </row>
    <row r="603" spans="1:7" ht="16.5" hidden="1" customHeight="1">
      <c r="A603" s="1">
        <f>{0,0,1,100,0,FALSE,TRUE,0.075,0,0,FALSE,30}</f>
        <v>0</v>
      </c>
    </row>
    <row r="604" spans="1:7" ht="16.5" hidden="1" customHeight="1">
      <c r="A604" s="1" t="s">
        <v>67</v>
      </c>
    </row>
    <row r="605" spans="1:7" ht="16.5" hidden="1" customHeight="1">
      <c r="A605" s="1" t="s">
        <v>45</v>
      </c>
      <c r="B605" s="1" t="s">
        <v>46</v>
      </c>
      <c r="C605" s="1" t="s">
        <v>53</v>
      </c>
      <c r="D605" s="1">
        <v>2.3401257330678624</v>
      </c>
    </row>
    <row r="606" spans="1:7" ht="16.5" hidden="1" customHeight="1">
      <c r="C606" s="1" t="s">
        <v>68</v>
      </c>
      <c r="D606" s="1">
        <v>5.9523802702075601</v>
      </c>
    </row>
    <row r="607" spans="1:7" ht="16.5" hidden="1" customHeight="1">
      <c r="A607" s="1" t="s">
        <v>69</v>
      </c>
    </row>
    <row r="608" spans="1:7" ht="16.5" hidden="1" customHeight="1">
      <c r="A608" s="1">
        <f>$D$605^2+D606</f>
        <v>11.42856871677396</v>
      </c>
      <c r="B608" s="1">
        <f t="shared" ref="B608:G608" si="41">$D$605^2</f>
        <v>5.4761884465664004</v>
      </c>
      <c r="C608" s="1">
        <f t="shared" si="41"/>
        <v>5.4761884465664004</v>
      </c>
      <c r="D608" s="1">
        <f t="shared" si="41"/>
        <v>5.4761884465664004</v>
      </c>
      <c r="E608" s="1">
        <f t="shared" si="41"/>
        <v>5.4761884465664004</v>
      </c>
      <c r="F608" s="1">
        <f t="shared" si="41"/>
        <v>5.4761884465664004</v>
      </c>
      <c r="G608" s="1">
        <f t="shared" si="41"/>
        <v>5.4761884465664004</v>
      </c>
    </row>
    <row r="609" spans="1:7" ht="16.5" hidden="1" customHeight="1">
      <c r="A609" s="1">
        <f t="shared" ref="A609:G614" si="42">$D$605^2</f>
        <v>5.4761884465664004</v>
      </c>
      <c r="B609" s="1">
        <f>$D$605^2+D606</f>
        <v>11.42856871677396</v>
      </c>
      <c r="C609" s="1">
        <f t="shared" si="42"/>
        <v>5.4761884465664004</v>
      </c>
      <c r="D609" s="1">
        <f t="shared" si="42"/>
        <v>5.4761884465664004</v>
      </c>
      <c r="E609" s="1">
        <f t="shared" si="42"/>
        <v>5.4761884465664004</v>
      </c>
      <c r="F609" s="1">
        <f t="shared" si="42"/>
        <v>5.4761884465664004</v>
      </c>
      <c r="G609" s="1">
        <f t="shared" si="42"/>
        <v>5.4761884465664004</v>
      </c>
    </row>
    <row r="610" spans="1:7" ht="16.5" hidden="1" customHeight="1">
      <c r="A610" s="1">
        <f t="shared" si="42"/>
        <v>5.4761884465664004</v>
      </c>
      <c r="B610" s="1">
        <f t="shared" si="42"/>
        <v>5.4761884465664004</v>
      </c>
      <c r="C610" s="1">
        <f>$D$605^2+D606</f>
        <v>11.42856871677396</v>
      </c>
      <c r="D610" s="1">
        <f t="shared" si="42"/>
        <v>5.4761884465664004</v>
      </c>
      <c r="E610" s="1">
        <f t="shared" si="42"/>
        <v>5.4761884465664004</v>
      </c>
      <c r="F610" s="1">
        <f t="shared" si="42"/>
        <v>5.4761884465664004</v>
      </c>
      <c r="G610" s="1">
        <f t="shared" si="42"/>
        <v>5.4761884465664004</v>
      </c>
    </row>
    <row r="611" spans="1:7" ht="16.5" hidden="1" customHeight="1">
      <c r="A611" s="1">
        <f t="shared" si="42"/>
        <v>5.4761884465664004</v>
      </c>
      <c r="B611" s="1">
        <f t="shared" si="42"/>
        <v>5.4761884465664004</v>
      </c>
      <c r="C611" s="1">
        <f t="shared" si="42"/>
        <v>5.4761884465664004</v>
      </c>
      <c r="D611" s="1">
        <f>$D$605^2+D606</f>
        <v>11.42856871677396</v>
      </c>
      <c r="E611" s="1">
        <f t="shared" si="42"/>
        <v>5.4761884465664004</v>
      </c>
      <c r="F611" s="1">
        <f t="shared" si="42"/>
        <v>5.4761884465664004</v>
      </c>
      <c r="G611" s="1">
        <f t="shared" si="42"/>
        <v>5.4761884465664004</v>
      </c>
    </row>
    <row r="612" spans="1:7" ht="16.5" hidden="1" customHeight="1">
      <c r="A612" s="1">
        <f t="shared" si="42"/>
        <v>5.4761884465664004</v>
      </c>
      <c r="B612" s="1">
        <f t="shared" si="42"/>
        <v>5.4761884465664004</v>
      </c>
      <c r="C612" s="1">
        <f t="shared" si="42"/>
        <v>5.4761884465664004</v>
      </c>
      <c r="D612" s="1">
        <f t="shared" si="42"/>
        <v>5.4761884465664004</v>
      </c>
      <c r="E612" s="1">
        <f>$D$605^2+D606</f>
        <v>11.42856871677396</v>
      </c>
      <c r="F612" s="1">
        <f t="shared" si="42"/>
        <v>5.4761884465664004</v>
      </c>
      <c r="G612" s="1">
        <f t="shared" si="42"/>
        <v>5.4761884465664004</v>
      </c>
    </row>
    <row r="613" spans="1:7" ht="16.5" hidden="1" customHeight="1">
      <c r="A613" s="1">
        <f t="shared" si="42"/>
        <v>5.4761884465664004</v>
      </c>
      <c r="B613" s="1">
        <f t="shared" si="42"/>
        <v>5.4761884465664004</v>
      </c>
      <c r="C613" s="1">
        <f t="shared" si="42"/>
        <v>5.4761884465664004</v>
      </c>
      <c r="D613" s="1">
        <f t="shared" si="42"/>
        <v>5.4761884465664004</v>
      </c>
      <c r="E613" s="1">
        <f t="shared" si="42"/>
        <v>5.4761884465664004</v>
      </c>
      <c r="F613" s="1">
        <f>$D$605^2+D606</f>
        <v>11.42856871677396</v>
      </c>
      <c r="G613" s="1">
        <f t="shared" si="42"/>
        <v>5.4761884465664004</v>
      </c>
    </row>
    <row r="614" spans="1:7" ht="16.5" hidden="1" customHeight="1">
      <c r="A614" s="1">
        <f t="shared" si="42"/>
        <v>5.4761884465664004</v>
      </c>
      <c r="B614" s="1">
        <f t="shared" si="42"/>
        <v>5.4761884465664004</v>
      </c>
      <c r="C614" s="1">
        <f t="shared" si="42"/>
        <v>5.4761884465664004</v>
      </c>
      <c r="D614" s="1">
        <f t="shared" si="42"/>
        <v>5.4761884465664004</v>
      </c>
      <c r="E614" s="1">
        <f t="shared" si="42"/>
        <v>5.4761884465664004</v>
      </c>
      <c r="F614" s="1">
        <f t="shared" si="42"/>
        <v>5.4761884465664004</v>
      </c>
      <c r="G614" s="1">
        <f>$D$605^2+D606</f>
        <v>11.42856871677396</v>
      </c>
    </row>
    <row r="615" spans="1:7" ht="16.5" hidden="1" customHeight="1">
      <c r="A615" s="1" t="s">
        <v>61</v>
      </c>
    </row>
    <row r="616" spans="1:7" ht="16.5" hidden="1" customHeight="1">
      <c r="A616" s="1">
        <f t="array" ref="A616:G622">MINVERSE(A608:G614)</f>
        <v>0.14722582403931986</v>
      </c>
      <c r="B616" s="1">
        <v>-2.0774195214344177E-2</v>
      </c>
      <c r="C616" s="1">
        <v>-2.0774195214344138E-2</v>
      </c>
      <c r="D616" s="1">
        <v>-2.077419521434417E-2</v>
      </c>
      <c r="E616" s="1">
        <v>-2.0774195214344166E-2</v>
      </c>
      <c r="F616" s="1">
        <v>-2.0774195214344152E-2</v>
      </c>
      <c r="G616" s="1">
        <v>-2.0774195214344152E-2</v>
      </c>
    </row>
    <row r="617" spans="1:7" ht="16.5" hidden="1" customHeight="1">
      <c r="A617" s="1">
        <v>-2.0774195214344159E-2</v>
      </c>
      <c r="B617" s="1">
        <v>0.14722582403931991</v>
      </c>
      <c r="C617" s="1">
        <v>-2.0774195214344145E-2</v>
      </c>
      <c r="D617" s="1">
        <v>-2.077419521434417E-2</v>
      </c>
      <c r="E617" s="1">
        <v>-2.0774195214344163E-2</v>
      </c>
      <c r="F617" s="1">
        <v>-2.0774195214344159E-2</v>
      </c>
      <c r="G617" s="1">
        <v>-2.0774195214344159E-2</v>
      </c>
    </row>
    <row r="618" spans="1:7" ht="16.5" hidden="1" customHeight="1">
      <c r="A618" s="1">
        <v>-2.0774195214344159E-2</v>
      </c>
      <c r="B618" s="1">
        <v>-2.0774195214344152E-2</v>
      </c>
      <c r="C618" s="1">
        <v>0.14722582403931983</v>
      </c>
      <c r="D618" s="1">
        <v>-2.0774195214344159E-2</v>
      </c>
      <c r="E618" s="1">
        <v>-2.0774195214344159E-2</v>
      </c>
      <c r="F618" s="1">
        <v>-2.0774195214344152E-2</v>
      </c>
      <c r="G618" s="1">
        <v>-2.0774195214344159E-2</v>
      </c>
    </row>
    <row r="619" spans="1:7" ht="16.5" hidden="1" customHeight="1">
      <c r="A619" s="1">
        <v>-2.0774195214344166E-2</v>
      </c>
      <c r="B619" s="1">
        <v>-2.0774195214344159E-2</v>
      </c>
      <c r="C619" s="1">
        <v>-2.0774195214344159E-2</v>
      </c>
      <c r="D619" s="1">
        <v>0.14722582403931991</v>
      </c>
      <c r="E619" s="1">
        <v>-2.0774195214344159E-2</v>
      </c>
      <c r="F619" s="1">
        <v>-2.0774195214344159E-2</v>
      </c>
      <c r="G619" s="1">
        <v>-2.0774195214344156E-2</v>
      </c>
    </row>
    <row r="620" spans="1:7" ht="16.5" hidden="1" customHeight="1">
      <c r="A620" s="1">
        <v>-2.0774195214344159E-2</v>
      </c>
      <c r="B620" s="1">
        <v>-2.0774195214344159E-2</v>
      </c>
      <c r="C620" s="1">
        <v>-2.0774195214344159E-2</v>
      </c>
      <c r="D620" s="1">
        <v>-2.0774195214344159E-2</v>
      </c>
      <c r="E620" s="1">
        <v>0.14722582403931991</v>
      </c>
      <c r="F620" s="1">
        <v>-2.0774195214344159E-2</v>
      </c>
      <c r="G620" s="1">
        <v>-2.0774195214344159E-2</v>
      </c>
    </row>
    <row r="621" spans="1:7" ht="16.5" hidden="1" customHeight="1">
      <c r="A621" s="1">
        <v>-2.0774195214344163E-2</v>
      </c>
      <c r="B621" s="1">
        <v>-2.0774195214344156E-2</v>
      </c>
      <c r="C621" s="1">
        <v>-2.0774195214344156E-2</v>
      </c>
      <c r="D621" s="1">
        <v>-2.0774195214344156E-2</v>
      </c>
      <c r="E621" s="1">
        <v>-2.0774195214344163E-2</v>
      </c>
      <c r="F621" s="1">
        <v>0.14722582403931989</v>
      </c>
      <c r="G621" s="1">
        <v>-2.0774195214344156E-2</v>
      </c>
    </row>
    <row r="622" spans="1:7" ht="16.5" hidden="1" customHeight="1">
      <c r="A622" s="1">
        <v>-2.0774195214344159E-2</v>
      </c>
      <c r="B622" s="1">
        <v>-2.0774195214344156E-2</v>
      </c>
      <c r="C622" s="1">
        <v>-2.0774195214344156E-2</v>
      </c>
      <c r="D622" s="1">
        <v>-2.0774195214344156E-2</v>
      </c>
      <c r="E622" s="1">
        <v>-2.0774195214344159E-2</v>
      </c>
      <c r="F622" s="1">
        <v>-2.0774195214344156E-2</v>
      </c>
      <c r="G622" s="1">
        <v>0.14722582403931989</v>
      </c>
    </row>
    <row r="623" spans="1:7" ht="16.5" hidden="1" customHeight="1">
      <c r="A623" s="1" t="s">
        <v>54</v>
      </c>
    </row>
    <row r="624" spans="1:7" ht="16.5" hidden="1" customHeight="1">
      <c r="A624" s="1" t="e">
        <f t="array" ref="A624:G630">MMULT(A80:G86,A616:G622)</f>
        <v>#VALUE!</v>
      </c>
      <c r="B624" s="1" t="e">
        <v>#VALUE!</v>
      </c>
      <c r="C624" s="1" t="e">
        <v>#VALUE!</v>
      </c>
      <c r="D624" s="1" t="e">
        <v>#VALUE!</v>
      </c>
      <c r="E624" s="1" t="e">
        <v>#VALUE!</v>
      </c>
      <c r="F624" s="1" t="e">
        <v>#VALUE!</v>
      </c>
      <c r="G624" s="1" t="e">
        <v>#VALUE!</v>
      </c>
    </row>
    <row r="625" spans="1:7" ht="16.5" hidden="1" customHeight="1">
      <c r="A625" s="1" t="e">
        <v>#VALUE!</v>
      </c>
      <c r="B625" s="1" t="e">
        <v>#VALUE!</v>
      </c>
      <c r="C625" s="1" t="e">
        <v>#VALUE!</v>
      </c>
      <c r="D625" s="1" t="e">
        <v>#VALUE!</v>
      </c>
      <c r="E625" s="1" t="e">
        <v>#VALUE!</v>
      </c>
      <c r="F625" s="1" t="e">
        <v>#VALUE!</v>
      </c>
      <c r="G625" s="1" t="e">
        <v>#VALUE!</v>
      </c>
    </row>
    <row r="626" spans="1:7" ht="16.5" hidden="1" customHeight="1">
      <c r="A626" s="1" t="e">
        <v>#VALUE!</v>
      </c>
      <c r="B626" s="1" t="e">
        <v>#VALUE!</v>
      </c>
      <c r="C626" s="1" t="e">
        <v>#VALUE!</v>
      </c>
      <c r="D626" s="1" t="e">
        <v>#VALUE!</v>
      </c>
      <c r="E626" s="1" t="e">
        <v>#VALUE!</v>
      </c>
      <c r="F626" s="1" t="e">
        <v>#VALUE!</v>
      </c>
      <c r="G626" s="1" t="e">
        <v>#VALUE!</v>
      </c>
    </row>
    <row r="627" spans="1:7" ht="16.5" hidden="1" customHeight="1">
      <c r="A627" s="1" t="e">
        <v>#VALUE!</v>
      </c>
      <c r="B627" s="1" t="e">
        <v>#VALUE!</v>
      </c>
      <c r="C627" s="1" t="e">
        <v>#VALUE!</v>
      </c>
      <c r="D627" s="1" t="e">
        <v>#VALUE!</v>
      </c>
      <c r="E627" s="1" t="e">
        <v>#VALUE!</v>
      </c>
      <c r="F627" s="1" t="e">
        <v>#VALUE!</v>
      </c>
      <c r="G627" s="1" t="e">
        <v>#VALUE!</v>
      </c>
    </row>
    <row r="628" spans="1:7" ht="16.5" hidden="1" customHeight="1">
      <c r="A628" s="1" t="e">
        <v>#VALUE!</v>
      </c>
      <c r="B628" s="1" t="e">
        <v>#VALUE!</v>
      </c>
      <c r="C628" s="1" t="e">
        <v>#VALUE!</v>
      </c>
      <c r="D628" s="1" t="e">
        <v>#VALUE!</v>
      </c>
      <c r="E628" s="1" t="e">
        <v>#VALUE!</v>
      </c>
      <c r="F628" s="1" t="e">
        <v>#VALUE!</v>
      </c>
      <c r="G628" s="1" t="e">
        <v>#VALUE!</v>
      </c>
    </row>
    <row r="629" spans="1:7" ht="16.5" hidden="1" customHeight="1">
      <c r="A629" s="1" t="e">
        <v>#VALUE!</v>
      </c>
      <c r="B629" s="1" t="e">
        <v>#VALUE!</v>
      </c>
      <c r="C629" s="1" t="e">
        <v>#VALUE!</v>
      </c>
      <c r="D629" s="1" t="e">
        <v>#VALUE!</v>
      </c>
      <c r="E629" s="1" t="e">
        <v>#VALUE!</v>
      </c>
      <c r="F629" s="1" t="e">
        <v>#VALUE!</v>
      </c>
      <c r="G629" s="1" t="e">
        <v>#VALUE!</v>
      </c>
    </row>
    <row r="630" spans="1:7" ht="16.5" hidden="1" customHeight="1">
      <c r="A630" s="1" t="e">
        <v>#VALUE!</v>
      </c>
      <c r="B630" s="1" t="e">
        <v>#VALUE!</v>
      </c>
      <c r="C630" s="1" t="e">
        <v>#VALUE!</v>
      </c>
      <c r="D630" s="1" t="e">
        <v>#VALUE!</v>
      </c>
      <c r="E630" s="1" t="e">
        <v>#VALUE!</v>
      </c>
      <c r="F630" s="1" t="e">
        <v>#VALUE!</v>
      </c>
      <c r="G630" s="1" t="e">
        <v>#VALUE!</v>
      </c>
    </row>
    <row r="631" spans="1:7" ht="16.5" hidden="1" customHeight="1">
      <c r="A631" s="1" t="s">
        <v>41</v>
      </c>
    </row>
    <row r="632" spans="1:7" ht="16.5" hidden="1" customHeight="1">
      <c r="A632" s="1" t="e">
        <f>LN(MDETERM(A608:G614))+SUM(A624,B625,C626,D627,E628,F629,G630)-LN(MDETERM(A80:G86))-7</f>
        <v>#VALUE!</v>
      </c>
    </row>
    <row r="633" spans="1:7" ht="16.5" hidden="1" customHeight="1">
      <c r="A633" s="1" t="e">
        <f>MIN($A$632)</f>
        <v>#VALUE!</v>
      </c>
    </row>
    <row r="634" spans="1:7" ht="16.5" hidden="1" customHeight="1">
      <c r="A634" s="1">
        <f>COUNT($D$605,$D$606)</f>
        <v>2</v>
      </c>
    </row>
    <row r="635" spans="1:7" ht="16.5" hidden="1" customHeight="1">
      <c r="A635" s="1">
        <f>{32767,32767,0.000001,0.01,FALSE,FALSE,TRUE,1,1,1,0.0001,TRUE}</f>
        <v>32767</v>
      </c>
    </row>
    <row r="636" spans="1:7" ht="16.5" hidden="1" customHeight="1">
      <c r="A636" s="1">
        <f>{0,0,1,100,0,FALSE,TRUE,0.075,0,0,FALSE,30}</f>
        <v>0</v>
      </c>
    </row>
    <row r="637" spans="1:7" ht="16.5" hidden="1" customHeight="1">
      <c r="A637" s="1" t="s">
        <v>65</v>
      </c>
    </row>
    <row r="638" spans="1:7" ht="16.5" hidden="1" customHeight="1">
      <c r="A638" s="1">
        <f>A80</f>
        <v>10</v>
      </c>
      <c r="B638" s="1">
        <v>0</v>
      </c>
      <c r="C638" s="1">
        <v>0</v>
      </c>
      <c r="D638" s="1">
        <v>0</v>
      </c>
      <c r="E638" s="1">
        <v>0</v>
      </c>
      <c r="F638" s="1">
        <v>0</v>
      </c>
      <c r="G638" s="1">
        <v>0</v>
      </c>
    </row>
    <row r="639" spans="1:7" ht="16.5" hidden="1" customHeight="1">
      <c r="A639" s="1">
        <v>0</v>
      </c>
      <c r="B639" s="1">
        <f>B81</f>
        <v>11</v>
      </c>
      <c r="C639" s="1">
        <v>0</v>
      </c>
      <c r="D639" s="1">
        <v>0</v>
      </c>
      <c r="E639" s="1">
        <v>0</v>
      </c>
      <c r="F639" s="1">
        <v>0</v>
      </c>
      <c r="G639" s="1">
        <v>0</v>
      </c>
    </row>
    <row r="640" spans="1:7" ht="16.5" hidden="1" customHeight="1">
      <c r="A640" s="1">
        <v>0</v>
      </c>
      <c r="B640" s="1">
        <v>0</v>
      </c>
      <c r="C640" s="1">
        <f>C82</f>
        <v>12</v>
      </c>
      <c r="D640" s="1">
        <v>0</v>
      </c>
      <c r="E640" s="1">
        <v>0</v>
      </c>
      <c r="F640" s="1">
        <v>0</v>
      </c>
      <c r="G640" s="1">
        <v>0</v>
      </c>
    </row>
    <row r="641" spans="1:7" ht="16.5" hidden="1" customHeight="1">
      <c r="A641" s="1">
        <v>0</v>
      </c>
      <c r="B641" s="1">
        <v>0</v>
      </c>
      <c r="C641" s="1">
        <v>0</v>
      </c>
      <c r="D641" s="1">
        <f>D83</f>
        <v>0</v>
      </c>
      <c r="E641" s="1">
        <v>0</v>
      </c>
      <c r="F641" s="1">
        <v>0</v>
      </c>
      <c r="G641" s="1">
        <v>0</v>
      </c>
    </row>
    <row r="642" spans="1:7" ht="16.5" hidden="1" customHeight="1">
      <c r="A642" s="1">
        <v>0</v>
      </c>
      <c r="B642" s="1">
        <v>0</v>
      </c>
      <c r="C642" s="1">
        <v>0</v>
      </c>
      <c r="D642" s="1">
        <v>0</v>
      </c>
      <c r="E642" s="1">
        <f>E84</f>
        <v>0</v>
      </c>
      <c r="F642" s="1">
        <v>0</v>
      </c>
      <c r="G642" s="1">
        <v>0</v>
      </c>
    </row>
    <row r="643" spans="1:7" ht="16.5" hidden="1" customHeight="1">
      <c r="A643" s="1">
        <v>0</v>
      </c>
      <c r="B643" s="1">
        <v>0</v>
      </c>
      <c r="C643" s="1">
        <v>0</v>
      </c>
      <c r="D643" s="1">
        <v>0</v>
      </c>
      <c r="E643" s="1">
        <v>0</v>
      </c>
      <c r="F643" s="1">
        <f>F85</f>
        <v>0</v>
      </c>
      <c r="G643" s="1">
        <v>0</v>
      </c>
    </row>
    <row r="644" spans="1:7" ht="16.5" hidden="1" customHeight="1">
      <c r="A644" s="1">
        <v>0</v>
      </c>
      <c r="B644" s="1">
        <v>0</v>
      </c>
      <c r="C644" s="1">
        <v>0</v>
      </c>
      <c r="D644" s="1">
        <v>0</v>
      </c>
      <c r="E644" s="1">
        <v>0</v>
      </c>
      <c r="F644" s="1">
        <v>0</v>
      </c>
      <c r="G644" s="1">
        <f>G86</f>
        <v>0</v>
      </c>
    </row>
    <row r="645" spans="1:7" ht="16.5" hidden="1" customHeight="1">
      <c r="A645" s="1" t="s">
        <v>41</v>
      </c>
    </row>
    <row r="646" spans="1:7" ht="16.5" hidden="1" customHeight="1">
      <c r="A646" s="1" t="e">
        <f>LN(MDETERM(A638:G644))-LN(MDETERM(A80:G86))</f>
        <v>#NUM!</v>
      </c>
    </row>
    <row r="647" spans="1:7" ht="16.5" hidden="1" customHeight="1">
      <c r="A647" s="1" t="s">
        <v>70</v>
      </c>
    </row>
    <row r="648" spans="1:7" ht="16.5" hidden="1" customHeight="1">
      <c r="A648" s="1" t="s">
        <v>35</v>
      </c>
      <c r="B648" s="1" t="s">
        <v>60</v>
      </c>
    </row>
    <row r="649" spans="1:7" ht="16.5" hidden="1" customHeight="1">
      <c r="A649" s="1">
        <v>2.1938875286338715</v>
      </c>
      <c r="B649" s="1">
        <v>5.1868211960486796</v>
      </c>
    </row>
    <row r="650" spans="1:7" ht="16.5" hidden="1" customHeight="1">
      <c r="A650" s="1">
        <v>2.3948375318861119</v>
      </c>
      <c r="B650" s="1">
        <v>5.2647166209900904</v>
      </c>
    </row>
    <row r="651" spans="1:7" ht="16.5" hidden="1" customHeight="1">
      <c r="A651" s="1">
        <v>2.5901255883765879</v>
      </c>
      <c r="B651" s="1">
        <v>5.2912020984161208</v>
      </c>
    </row>
    <row r="652" spans="1:7" ht="16.5" hidden="1" customHeight="1">
      <c r="A652" s="1">
        <v>2.9140153758425789</v>
      </c>
      <c r="B652" s="1">
        <v>4.5084637744068079</v>
      </c>
    </row>
    <row r="653" spans="1:7" ht="16.5" hidden="1" customHeight="1">
      <c r="A653" s="1">
        <v>2.0734853297406151</v>
      </c>
      <c r="B653" s="1">
        <v>7.7006260114116598</v>
      </c>
    </row>
    <row r="654" spans="1:7" ht="16.5" hidden="1" customHeight="1">
      <c r="A654" s="1">
        <v>2.1132266430575846</v>
      </c>
      <c r="B654" s="1">
        <v>5.5342436202884295</v>
      </c>
    </row>
    <row r="655" spans="1:7" ht="16.5" hidden="1" customHeight="1">
      <c r="A655" s="1">
        <v>2.125963049329457</v>
      </c>
      <c r="B655" s="1">
        <v>6.4802489702442427</v>
      </c>
    </row>
    <row r="656" spans="1:7" ht="16.5" hidden="1" customHeight="1">
      <c r="A656" s="1">
        <v>2.0693641094034669</v>
      </c>
      <c r="B656" s="1">
        <v>6.7176999768727628</v>
      </c>
    </row>
    <row r="657" spans="1:8" ht="16.5" hidden="1" customHeight="1">
      <c r="A657" s="1" t="s">
        <v>48</v>
      </c>
    </row>
    <row r="658" spans="1:8" ht="16.5" hidden="1" customHeight="1">
      <c r="A658" s="1">
        <f t="array" ref="A658:H658">TRANSPOSE(A649:A656)</f>
        <v>2.1938875286338715</v>
      </c>
      <c r="B658" s="1">
        <v>2.3948375318861119</v>
      </c>
      <c r="C658" s="1">
        <v>2.5901255883765879</v>
      </c>
      <c r="D658" s="1">
        <v>2.9140153758425789</v>
      </c>
      <c r="E658" s="1">
        <v>2.0734853297406151</v>
      </c>
      <c r="F658" s="1">
        <v>2.1132266430575846</v>
      </c>
      <c r="G658" s="1">
        <v>2.125963049329457</v>
      </c>
      <c r="H658" s="1">
        <v>2.0693641094034669</v>
      </c>
    </row>
    <row r="659" spans="1:8" ht="16.5" hidden="1" customHeight="1">
      <c r="A659" s="1" t="s">
        <v>38</v>
      </c>
    </row>
    <row r="660" spans="1:8" ht="16.5" hidden="1" customHeight="1">
      <c r="A660" s="1">
        <f>$A649*A$658+B649</f>
        <v>9.9999636843439159</v>
      </c>
      <c r="B660" s="1">
        <f t="shared" ref="B660:H660" si="43">$A649*B$658</f>
        <v>5.2540041943092621</v>
      </c>
      <c r="C660" s="1">
        <f t="shared" si="43"/>
        <v>5.6824442259348649</v>
      </c>
      <c r="D660" s="1">
        <f t="shared" si="43"/>
        <v>6.3930219913083777</v>
      </c>
      <c r="E660" s="1">
        <f t="shared" si="43"/>
        <v>4.5489936057232256</v>
      </c>
      <c r="F660" s="1">
        <f t="shared" si="43"/>
        <v>4.6361815773808566</v>
      </c>
      <c r="G660" s="1">
        <f t="shared" si="43"/>
        <v>4.6641238202603317</v>
      </c>
      <c r="H660" s="1">
        <f t="shared" si="43"/>
        <v>4.5399521118228048</v>
      </c>
    </row>
    <row r="661" spans="1:8" ht="16.5" hidden="1" customHeight="1">
      <c r="A661" s="1">
        <f t="shared" ref="A661:H667" si="44">$A650*A$658</f>
        <v>5.2540041943092621</v>
      </c>
      <c r="B661" s="1">
        <f>$A650*B$658+B650</f>
        <v>10.999963425120455</v>
      </c>
      <c r="C661" s="1">
        <f t="shared" si="44"/>
        <v>6.2029299713428516</v>
      </c>
      <c r="D661" s="1">
        <f t="shared" si="44"/>
        <v>6.9785933905610227</v>
      </c>
      <c r="E661" s="1">
        <f t="shared" si="44"/>
        <v>4.9656604894780756</v>
      </c>
      <c r="F661" s="1">
        <f t="shared" si="44"/>
        <v>5.0608344781759991</v>
      </c>
      <c r="G661" s="1">
        <f t="shared" si="44"/>
        <v>5.0913361019372294</v>
      </c>
      <c r="H661" s="1">
        <f t="shared" si="44"/>
        <v>4.9557908363375009</v>
      </c>
    </row>
    <row r="662" spans="1:8" ht="16.5" hidden="1" customHeight="1">
      <c r="A662" s="1">
        <f t="shared" si="44"/>
        <v>5.6824442259348649</v>
      </c>
      <c r="B662" s="1">
        <f t="shared" si="44"/>
        <v>6.2029299713428516</v>
      </c>
      <c r="C662" s="1">
        <f>$A651*C$658+B651</f>
        <v>11.999952661979286</v>
      </c>
      <c r="D662" s="1">
        <f t="shared" si="44"/>
        <v>7.5476657898926831</v>
      </c>
      <c r="E662" s="1">
        <f t="shared" si="44"/>
        <v>5.3705874096846342</v>
      </c>
      <c r="F662" s="1">
        <f t="shared" si="44"/>
        <v>5.4735224022226081</v>
      </c>
      <c r="G662" s="1">
        <f t="shared" si="44"/>
        <v>5.5065112940113448</v>
      </c>
      <c r="H662" s="1">
        <f t="shared" si="44"/>
        <v>5.3599129314340486</v>
      </c>
    </row>
    <row r="663" spans="1:8" ht="16.5" hidden="1" customHeight="1">
      <c r="A663" s="1">
        <f t="shared" si="44"/>
        <v>6.3930219913083777</v>
      </c>
      <c r="B663" s="1">
        <f t="shared" si="44"/>
        <v>6.9785933905610227</v>
      </c>
      <c r="C663" s="1">
        <f t="shared" si="44"/>
        <v>7.5476657898926831</v>
      </c>
      <c r="D663" s="1">
        <f>$A652*D$658+B652</f>
        <v>12.999949385053775</v>
      </c>
      <c r="E663" s="1">
        <f t="shared" si="44"/>
        <v>6.0421681324481717</v>
      </c>
      <c r="F663" s="1">
        <f t="shared" si="44"/>
        <v>6.1579749305099982</v>
      </c>
      <c r="G663" s="1">
        <f t="shared" si="44"/>
        <v>6.1950890142192128</v>
      </c>
      <c r="H663" s="1">
        <f t="shared" si="44"/>
        <v>6.0301588330184872</v>
      </c>
    </row>
    <row r="664" spans="1:8" ht="16.5" hidden="1" customHeight="1">
      <c r="A664" s="1">
        <f t="shared" si="44"/>
        <v>4.5489936057232256</v>
      </c>
      <c r="B664" s="1">
        <f t="shared" si="44"/>
        <v>4.9656604894780756</v>
      </c>
      <c r="C664" s="1">
        <f t="shared" si="44"/>
        <v>5.3705874096846342</v>
      </c>
      <c r="D664" s="1">
        <f t="shared" si="44"/>
        <v>6.0421681324481717</v>
      </c>
      <c r="E664" s="1">
        <f>$A653*E$658+B653</f>
        <v>11.999967424061207</v>
      </c>
      <c r="F664" s="1">
        <f t="shared" si="44"/>
        <v>4.3817444427969088</v>
      </c>
      <c r="G664" s="1">
        <f t="shared" si="44"/>
        <v>4.4081531943552523</v>
      </c>
      <c r="H664" s="1">
        <f t="shared" si="44"/>
        <v>4.2907961227398417</v>
      </c>
    </row>
    <row r="665" spans="1:8" ht="16.5" hidden="1" customHeight="1">
      <c r="A665" s="1">
        <f t="shared" si="44"/>
        <v>4.6361815773808566</v>
      </c>
      <c r="B665" s="1">
        <f t="shared" si="44"/>
        <v>5.0608344781759991</v>
      </c>
      <c r="C665" s="1">
        <f t="shared" si="44"/>
        <v>5.4735224022226081</v>
      </c>
      <c r="D665" s="1">
        <f t="shared" si="44"/>
        <v>6.1579749305099982</v>
      </c>
      <c r="E665" s="1">
        <f t="shared" si="44"/>
        <v>4.3817444427969088</v>
      </c>
      <c r="F665" s="1">
        <f>$A654*F$658+B654</f>
        <v>9.9999704652168582</v>
      </c>
      <c r="G665" s="1">
        <f t="shared" si="44"/>
        <v>4.4926417579989542</v>
      </c>
      <c r="H665" s="1">
        <f t="shared" si="44"/>
        <v>4.3730353701785365</v>
      </c>
    </row>
    <row r="666" spans="1:8" ht="16.5" hidden="1" customHeight="1">
      <c r="A666" s="1">
        <f t="shared" si="44"/>
        <v>4.6641238202603317</v>
      </c>
      <c r="B666" s="1">
        <f t="shared" si="44"/>
        <v>5.0913361019372294</v>
      </c>
      <c r="C666" s="1">
        <f t="shared" si="44"/>
        <v>5.5065112940113448</v>
      </c>
      <c r="D666" s="1">
        <f t="shared" si="44"/>
        <v>6.1950890142192128</v>
      </c>
      <c r="E666" s="1">
        <f t="shared" si="44"/>
        <v>4.4081531943552523</v>
      </c>
      <c r="F666" s="1">
        <f t="shared" si="44"/>
        <v>4.4926417579989542</v>
      </c>
      <c r="G666" s="1">
        <f>$A655*G$658+B655</f>
        <v>10.999967857358445</v>
      </c>
      <c r="H666" s="1">
        <f t="shared" si="44"/>
        <v>4.3993916322003308</v>
      </c>
    </row>
    <row r="667" spans="1:8" ht="16.5" hidden="1" customHeight="1">
      <c r="A667" s="1">
        <f t="shared" si="44"/>
        <v>4.5399521118228048</v>
      </c>
      <c r="B667" s="1">
        <f t="shared" si="44"/>
        <v>4.9557908363375009</v>
      </c>
      <c r="C667" s="1">
        <f t="shared" si="44"/>
        <v>5.3599129314340486</v>
      </c>
      <c r="D667" s="1">
        <f t="shared" si="44"/>
        <v>6.0301588330184872</v>
      </c>
      <c r="E667" s="1">
        <f t="shared" si="44"/>
        <v>4.2907961227398417</v>
      </c>
      <c r="F667" s="1">
        <f t="shared" si="44"/>
        <v>4.3730353701785365</v>
      </c>
      <c r="G667" s="1">
        <f t="shared" si="44"/>
        <v>4.3993916322003308</v>
      </c>
      <c r="H667" s="1">
        <f>$A656*H$658+B656</f>
        <v>10.999967794159968</v>
      </c>
    </row>
    <row r="668" spans="1:8" ht="16.5" hidden="1" customHeight="1">
      <c r="A668" s="1" t="s">
        <v>61</v>
      </c>
    </row>
    <row r="669" spans="1:8" ht="16.5" hidden="1" customHeight="1">
      <c r="A669" s="1">
        <f t="array" ref="A669:H676">MINVERSE(A660:H667)</f>
        <v>0.17262385162051666</v>
      </c>
      <c r="B669" s="1">
        <v>-2.1694360601122578E-2</v>
      </c>
      <c r="C669" s="1">
        <v>-2.3345988714752353E-2</v>
      </c>
      <c r="D669" s="1">
        <v>-3.0825423590617497E-2</v>
      </c>
      <c r="E669" s="1">
        <v>-1.2841647181994367E-2</v>
      </c>
      <c r="F669" s="1">
        <v>-1.8210991979779663E-2</v>
      </c>
      <c r="G669" s="1">
        <v>-1.5646233918648524E-2</v>
      </c>
      <c r="H669" s="1">
        <v>-1.4691363606485453E-2</v>
      </c>
    </row>
    <row r="670" spans="1:8" ht="16.5" hidden="1" customHeight="1">
      <c r="A670" s="1">
        <v>-2.1694360601122592E-2</v>
      </c>
      <c r="B670" s="1">
        <v>0.1666126674257471</v>
      </c>
      <c r="C670" s="1">
        <v>-2.510731346747749E-2</v>
      </c>
      <c r="D670" s="1">
        <v>-3.315103002548582E-2</v>
      </c>
      <c r="E670" s="1">
        <v>-1.3810477901642464E-2</v>
      </c>
      <c r="F670" s="1">
        <v>-1.9584909843682149E-2</v>
      </c>
      <c r="G670" s="1">
        <v>-1.6826655078983836E-2</v>
      </c>
      <c r="H670" s="1">
        <v>-1.5799745122794348E-2</v>
      </c>
    </row>
    <row r="671" spans="1:8" ht="16.5" hidden="1" customHeight="1">
      <c r="A671" s="1">
        <v>-2.3345988714752373E-2</v>
      </c>
      <c r="B671" s="1">
        <v>-2.5107313467477497E-2</v>
      </c>
      <c r="C671" s="1">
        <v>0.16197419468824129</v>
      </c>
      <c r="D671" s="1">
        <v>-3.5674873626713767E-2</v>
      </c>
      <c r="E671" s="1">
        <v>-1.4861892782421877E-2</v>
      </c>
      <c r="F671" s="1">
        <v>-2.1075941927801555E-2</v>
      </c>
      <c r="G671" s="1">
        <v>-1.8107696594692857E-2</v>
      </c>
      <c r="H671" s="1">
        <v>-1.7002606258588366E-2</v>
      </c>
    </row>
    <row r="672" spans="1:8" ht="16.5" hidden="1" customHeight="1">
      <c r="A672" s="1">
        <v>-3.082542359061749E-2</v>
      </c>
      <c r="B672" s="1">
        <v>-3.3151030025485799E-2</v>
      </c>
      <c r="C672" s="1">
        <v>-3.5674873626713767E-2</v>
      </c>
      <c r="D672" s="1">
        <v>0.17470088684312221</v>
      </c>
      <c r="E672" s="1">
        <v>-1.9623248600604586E-2</v>
      </c>
      <c r="F672" s="1">
        <v>-2.7828114089903894E-2</v>
      </c>
      <c r="G672" s="1">
        <v>-2.3908921768178375E-2</v>
      </c>
      <c r="H672" s="1">
        <v>-2.2449789831958708E-2</v>
      </c>
    </row>
    <row r="673" spans="1:8" ht="16.5" hidden="1" customHeight="1">
      <c r="A673" s="1">
        <v>-1.2841647181994365E-2</v>
      </c>
      <c r="B673" s="1">
        <v>-1.3810477901642471E-2</v>
      </c>
      <c r="C673" s="1">
        <v>-1.4861892782421886E-2</v>
      </c>
      <c r="D673" s="1">
        <v>-1.9623248600604586E-2</v>
      </c>
      <c r="E673" s="1">
        <v>0.12168466967488996</v>
      </c>
      <c r="F673" s="1">
        <v>-1.159298985242831E-2</v>
      </c>
      <c r="G673" s="1">
        <v>-9.9602828472502881E-3</v>
      </c>
      <c r="H673" s="1">
        <v>-9.3524190992686999E-3</v>
      </c>
    </row>
    <row r="674" spans="1:8" ht="16.5" hidden="1" customHeight="1">
      <c r="A674" s="1">
        <v>-1.8210991979779656E-2</v>
      </c>
      <c r="B674" s="1">
        <v>-1.9584909843682149E-2</v>
      </c>
      <c r="C674" s="1">
        <v>-2.1075941927801562E-2</v>
      </c>
      <c r="D674" s="1">
        <v>-2.7828114089903908E-2</v>
      </c>
      <c r="E674" s="1">
        <v>-1.1592989852428312E-2</v>
      </c>
      <c r="F674" s="1">
        <v>0.16425291928273883</v>
      </c>
      <c r="G674" s="1">
        <v>-1.4124872648887201E-2</v>
      </c>
      <c r="H674" s="1">
        <v>-1.3262849134114687E-2</v>
      </c>
    </row>
    <row r="675" spans="1:8" ht="16.5" hidden="1" customHeight="1">
      <c r="A675" s="1">
        <v>-1.5646233918648507E-2</v>
      </c>
      <c r="B675" s="1">
        <v>-1.682665507898384E-2</v>
      </c>
      <c r="C675" s="1">
        <v>-1.810769659469286E-2</v>
      </c>
      <c r="D675" s="1">
        <v>-2.3908921768178361E-2</v>
      </c>
      <c r="E675" s="1">
        <v>-9.9602828472502864E-3</v>
      </c>
      <c r="F675" s="1">
        <v>-1.4124872648887218E-2</v>
      </c>
      <c r="G675" s="1">
        <v>0.1421794725420257</v>
      </c>
      <c r="H675" s="1">
        <v>-1.1394966304444771E-2</v>
      </c>
    </row>
    <row r="676" spans="1:8" ht="16.5" hidden="1" customHeight="1">
      <c r="A676" s="1">
        <v>-1.4691363606485434E-2</v>
      </c>
      <c r="B676" s="1">
        <v>-1.5799745122794345E-2</v>
      </c>
      <c r="C676" s="1">
        <v>-1.7002606258588366E-2</v>
      </c>
      <c r="D676" s="1">
        <v>-2.2449789831958708E-2</v>
      </c>
      <c r="E676" s="1">
        <v>-9.3524190992686999E-3</v>
      </c>
      <c r="F676" s="1">
        <v>-1.3262849134114685E-2</v>
      </c>
      <c r="G676" s="1">
        <v>-1.1394966304444771E-2</v>
      </c>
      <c r="H676" s="1">
        <v>0.13816092799225879</v>
      </c>
    </row>
    <row r="677" spans="1:8" ht="16.5" hidden="1" customHeight="1">
      <c r="A677" s="1" t="s">
        <v>54</v>
      </c>
    </row>
    <row r="678" spans="1:8" ht="16.5" hidden="1" customHeight="1">
      <c r="A678" s="1" t="e">
        <f t="array" ref="A678:H685">MMULT(A80:H87,A669:H676)</f>
        <v>#VALUE!</v>
      </c>
      <c r="B678" s="1" t="e">
        <v>#VALUE!</v>
      </c>
      <c r="C678" s="1" t="e">
        <v>#VALUE!</v>
      </c>
      <c r="D678" s="1" t="e">
        <v>#VALUE!</v>
      </c>
      <c r="E678" s="1" t="e">
        <v>#VALUE!</v>
      </c>
      <c r="F678" s="1" t="e">
        <v>#VALUE!</v>
      </c>
      <c r="G678" s="1" t="e">
        <v>#VALUE!</v>
      </c>
      <c r="H678" s="1" t="e">
        <v>#VALUE!</v>
      </c>
    </row>
    <row r="679" spans="1:8" ht="16.5" hidden="1" customHeight="1">
      <c r="A679" s="1" t="e">
        <v>#VALUE!</v>
      </c>
      <c r="B679" s="1" t="e">
        <v>#VALUE!</v>
      </c>
      <c r="C679" s="1" t="e">
        <v>#VALUE!</v>
      </c>
      <c r="D679" s="1" t="e">
        <v>#VALUE!</v>
      </c>
      <c r="E679" s="1" t="e">
        <v>#VALUE!</v>
      </c>
      <c r="F679" s="1" t="e">
        <v>#VALUE!</v>
      </c>
      <c r="G679" s="1" t="e">
        <v>#VALUE!</v>
      </c>
      <c r="H679" s="1" t="e">
        <v>#VALUE!</v>
      </c>
    </row>
    <row r="680" spans="1:8" ht="16.5" hidden="1" customHeight="1">
      <c r="A680" s="1" t="e">
        <v>#VALUE!</v>
      </c>
      <c r="B680" s="1" t="e">
        <v>#VALUE!</v>
      </c>
      <c r="C680" s="1" t="e">
        <v>#VALUE!</v>
      </c>
      <c r="D680" s="1" t="e">
        <v>#VALUE!</v>
      </c>
      <c r="E680" s="1" t="e">
        <v>#VALUE!</v>
      </c>
      <c r="F680" s="1" t="e">
        <v>#VALUE!</v>
      </c>
      <c r="G680" s="1" t="e">
        <v>#VALUE!</v>
      </c>
      <c r="H680" s="1" t="e">
        <v>#VALUE!</v>
      </c>
    </row>
    <row r="681" spans="1:8" ht="16.5" hidden="1" customHeight="1">
      <c r="A681" s="1" t="e">
        <v>#VALUE!</v>
      </c>
      <c r="B681" s="1" t="e">
        <v>#VALUE!</v>
      </c>
      <c r="C681" s="1" t="e">
        <v>#VALUE!</v>
      </c>
      <c r="D681" s="1" t="e">
        <v>#VALUE!</v>
      </c>
      <c r="E681" s="1" t="e">
        <v>#VALUE!</v>
      </c>
      <c r="F681" s="1" t="e">
        <v>#VALUE!</v>
      </c>
      <c r="G681" s="1" t="e">
        <v>#VALUE!</v>
      </c>
      <c r="H681" s="1" t="e">
        <v>#VALUE!</v>
      </c>
    </row>
    <row r="682" spans="1:8" ht="16.5" hidden="1" customHeight="1">
      <c r="A682" s="1" t="e">
        <v>#VALUE!</v>
      </c>
      <c r="B682" s="1" t="e">
        <v>#VALUE!</v>
      </c>
      <c r="C682" s="1" t="e">
        <v>#VALUE!</v>
      </c>
      <c r="D682" s="1" t="e">
        <v>#VALUE!</v>
      </c>
      <c r="E682" s="1" t="e">
        <v>#VALUE!</v>
      </c>
      <c r="F682" s="1" t="e">
        <v>#VALUE!</v>
      </c>
      <c r="G682" s="1" t="e">
        <v>#VALUE!</v>
      </c>
      <c r="H682" s="1" t="e">
        <v>#VALUE!</v>
      </c>
    </row>
    <row r="683" spans="1:8" ht="16.5" hidden="1" customHeight="1">
      <c r="A683" s="1" t="e">
        <v>#VALUE!</v>
      </c>
      <c r="B683" s="1" t="e">
        <v>#VALUE!</v>
      </c>
      <c r="C683" s="1" t="e">
        <v>#VALUE!</v>
      </c>
      <c r="D683" s="1" t="e">
        <v>#VALUE!</v>
      </c>
      <c r="E683" s="1" t="e">
        <v>#VALUE!</v>
      </c>
      <c r="F683" s="1" t="e">
        <v>#VALUE!</v>
      </c>
      <c r="G683" s="1" t="e">
        <v>#VALUE!</v>
      </c>
      <c r="H683" s="1" t="e">
        <v>#VALUE!</v>
      </c>
    </row>
    <row r="684" spans="1:8" ht="16.5" hidden="1" customHeight="1">
      <c r="A684" s="1" t="e">
        <v>#VALUE!</v>
      </c>
      <c r="B684" s="1" t="e">
        <v>#VALUE!</v>
      </c>
      <c r="C684" s="1" t="e">
        <v>#VALUE!</v>
      </c>
      <c r="D684" s="1" t="e">
        <v>#VALUE!</v>
      </c>
      <c r="E684" s="1" t="e">
        <v>#VALUE!</v>
      </c>
      <c r="F684" s="1" t="e">
        <v>#VALUE!</v>
      </c>
      <c r="G684" s="1" t="e">
        <v>#VALUE!</v>
      </c>
      <c r="H684" s="1" t="e">
        <v>#VALUE!</v>
      </c>
    </row>
    <row r="685" spans="1:8" ht="16.5" hidden="1" customHeight="1">
      <c r="A685" s="1" t="e">
        <v>#VALUE!</v>
      </c>
      <c r="B685" s="1" t="e">
        <v>#VALUE!</v>
      </c>
      <c r="C685" s="1" t="e">
        <v>#VALUE!</v>
      </c>
      <c r="D685" s="1" t="e">
        <v>#VALUE!</v>
      </c>
      <c r="E685" s="1" t="e">
        <v>#VALUE!</v>
      </c>
      <c r="F685" s="1" t="e">
        <v>#VALUE!</v>
      </c>
      <c r="G685" s="1" t="e">
        <v>#VALUE!</v>
      </c>
      <c r="H685" s="1" t="e">
        <v>#VALUE!</v>
      </c>
    </row>
    <row r="686" spans="1:8" ht="16.5" hidden="1" customHeight="1">
      <c r="A686" s="1" t="s">
        <v>41</v>
      </c>
    </row>
    <row r="687" spans="1:8" ht="16.5" hidden="1" customHeight="1">
      <c r="A687" s="1" t="e">
        <f>LN(MDETERM(A660:H667))+SUM(A678,B679,C680,D681,E682,F683,G684,H685)-LN(MDETERM(A80:H87))-8</f>
        <v>#VALUE!</v>
      </c>
    </row>
    <row r="688" spans="1:8" ht="16.5" hidden="1" customHeight="1">
      <c r="A688" s="1" t="e">
        <f>MIN($A$687)</f>
        <v>#VALUE!</v>
      </c>
    </row>
    <row r="689" spans="1:8" ht="16.5" hidden="1" customHeight="1">
      <c r="A689" s="1">
        <f>COUNT($A$649,$A$650,$A$651,$A$652,$A$653,$A$654,$A$655,$A$656,$B$649,$B$650,$B$651,$B$652,$B$653,$B$654,$B$655,$B$656)</f>
        <v>16</v>
      </c>
    </row>
    <row r="690" spans="1:8" ht="16.5" hidden="1" customHeight="1">
      <c r="A690" s="1">
        <f>{32767,32767,0.000001,0.01,FALSE,FALSE,TRUE,1,1,1,0.0001,TRUE}</f>
        <v>32767</v>
      </c>
    </row>
    <row r="691" spans="1:8" ht="16.5" hidden="1" customHeight="1">
      <c r="A691" s="1">
        <f>{0,0,1,100,0,FALSE,TRUE,0.075,0,0,FALSE,30}</f>
        <v>0</v>
      </c>
    </row>
    <row r="692" spans="1:8" ht="16.5" hidden="1" customHeight="1">
      <c r="A692" s="1" t="s">
        <v>70</v>
      </c>
    </row>
    <row r="693" spans="1:8" ht="16.5" hidden="1" customHeight="1">
      <c r="A693" s="1" t="s">
        <v>63</v>
      </c>
      <c r="B693" s="1" t="s">
        <v>52</v>
      </c>
      <c r="C693" s="1" t="s">
        <v>53</v>
      </c>
      <c r="D693" s="1">
        <v>2.3184538362929272</v>
      </c>
    </row>
    <row r="694" spans="1:8" ht="16.5" hidden="1" customHeight="1">
      <c r="B694" s="1">
        <v>5.0914778494547344</v>
      </c>
    </row>
    <row r="695" spans="1:8" ht="16.5" hidden="1" customHeight="1">
      <c r="B695" s="1">
        <v>5.5430679454915879</v>
      </c>
    </row>
    <row r="696" spans="1:8" ht="16.5" hidden="1" customHeight="1">
      <c r="B696" s="1">
        <v>5.9258281352312361</v>
      </c>
    </row>
    <row r="697" spans="1:8" ht="16.5" hidden="1" customHeight="1">
      <c r="B697" s="1">
        <v>5.7122205505538526</v>
      </c>
    </row>
    <row r="698" spans="1:8" ht="16.5" hidden="1" customHeight="1">
      <c r="B698" s="1">
        <v>7.346175041429281</v>
      </c>
    </row>
    <row r="699" spans="1:8" ht="16.5" hidden="1" customHeight="1">
      <c r="B699" s="1">
        <v>5.0987298127594576</v>
      </c>
    </row>
    <row r="700" spans="1:8" ht="16.5" hidden="1" customHeight="1">
      <c r="B700" s="1">
        <v>6.0439627270185943</v>
      </c>
    </row>
    <row r="701" spans="1:8" ht="16.5" hidden="1" customHeight="1">
      <c r="B701" s="1">
        <v>6.3579234901595605</v>
      </c>
    </row>
    <row r="702" spans="1:8" ht="16.5" hidden="1" customHeight="1">
      <c r="A702" s="1" t="s">
        <v>69</v>
      </c>
    </row>
    <row r="703" spans="1:8" ht="16.5" hidden="1" customHeight="1">
      <c r="A703" s="1">
        <f>$D$693^2+B694</f>
        <v>10.466706040476126</v>
      </c>
      <c r="B703" s="1">
        <f t="shared" ref="B703:H703" si="45">$D$693^2</f>
        <v>5.3752281910213915</v>
      </c>
      <c r="C703" s="1">
        <f t="shared" si="45"/>
        <v>5.3752281910213915</v>
      </c>
      <c r="D703" s="1">
        <f t="shared" si="45"/>
        <v>5.3752281910213915</v>
      </c>
      <c r="E703" s="1">
        <f t="shared" si="45"/>
        <v>5.3752281910213915</v>
      </c>
      <c r="F703" s="1">
        <f t="shared" si="45"/>
        <v>5.3752281910213915</v>
      </c>
      <c r="G703" s="1">
        <f t="shared" si="45"/>
        <v>5.3752281910213915</v>
      </c>
      <c r="H703" s="1">
        <f t="shared" si="45"/>
        <v>5.3752281910213915</v>
      </c>
    </row>
    <row r="704" spans="1:8" ht="16.5" hidden="1" customHeight="1">
      <c r="A704" s="1">
        <f t="shared" ref="A704:H710" si="46">$D$693^2</f>
        <v>5.3752281910213915</v>
      </c>
      <c r="B704" s="1">
        <f>$D$693^2+B695</f>
        <v>10.918296136512978</v>
      </c>
      <c r="C704" s="1">
        <f t="shared" si="46"/>
        <v>5.3752281910213915</v>
      </c>
      <c r="D704" s="1">
        <f t="shared" si="46"/>
        <v>5.3752281910213915</v>
      </c>
      <c r="E704" s="1">
        <f t="shared" si="46"/>
        <v>5.3752281910213915</v>
      </c>
      <c r="F704" s="1">
        <f t="shared" si="46"/>
        <v>5.3752281910213915</v>
      </c>
      <c r="G704" s="1">
        <f t="shared" si="46"/>
        <v>5.3752281910213915</v>
      </c>
      <c r="H704" s="1">
        <f t="shared" si="46"/>
        <v>5.3752281910213915</v>
      </c>
    </row>
    <row r="705" spans="1:8" ht="16.5" hidden="1" customHeight="1">
      <c r="A705" s="1">
        <f t="shared" si="46"/>
        <v>5.3752281910213915</v>
      </c>
      <c r="B705" s="1">
        <f t="shared" si="46"/>
        <v>5.3752281910213915</v>
      </c>
      <c r="C705" s="1">
        <f>$D$693^2+B696</f>
        <v>11.301056326252628</v>
      </c>
      <c r="D705" s="1">
        <f t="shared" si="46"/>
        <v>5.3752281910213915</v>
      </c>
      <c r="E705" s="1">
        <f t="shared" si="46"/>
        <v>5.3752281910213915</v>
      </c>
      <c r="F705" s="1">
        <f t="shared" si="46"/>
        <v>5.3752281910213915</v>
      </c>
      <c r="G705" s="1">
        <f t="shared" si="46"/>
        <v>5.3752281910213915</v>
      </c>
      <c r="H705" s="1">
        <f t="shared" si="46"/>
        <v>5.3752281910213915</v>
      </c>
    </row>
    <row r="706" spans="1:8" ht="16.5" hidden="1" customHeight="1">
      <c r="A706" s="1">
        <f t="shared" si="46"/>
        <v>5.3752281910213915</v>
      </c>
      <c r="B706" s="1">
        <f t="shared" si="46"/>
        <v>5.3752281910213915</v>
      </c>
      <c r="C706" s="1">
        <f t="shared" si="46"/>
        <v>5.3752281910213915</v>
      </c>
      <c r="D706" s="1">
        <f>$D$693^2+B697</f>
        <v>11.087448741575244</v>
      </c>
      <c r="E706" s="1">
        <f t="shared" si="46"/>
        <v>5.3752281910213915</v>
      </c>
      <c r="F706" s="1">
        <f t="shared" si="46"/>
        <v>5.3752281910213915</v>
      </c>
      <c r="G706" s="1">
        <f t="shared" si="46"/>
        <v>5.3752281910213915</v>
      </c>
      <c r="H706" s="1">
        <f t="shared" si="46"/>
        <v>5.3752281910213915</v>
      </c>
    </row>
    <row r="707" spans="1:8" ht="16.5" hidden="1" customHeight="1">
      <c r="A707" s="1">
        <f t="shared" si="46"/>
        <v>5.3752281910213915</v>
      </c>
      <c r="B707" s="1">
        <f t="shared" si="46"/>
        <v>5.3752281910213915</v>
      </c>
      <c r="C707" s="1">
        <f t="shared" si="46"/>
        <v>5.3752281910213915</v>
      </c>
      <c r="D707" s="1">
        <f t="shared" si="46"/>
        <v>5.3752281910213915</v>
      </c>
      <c r="E707" s="1">
        <f>$D$693^2+B698</f>
        <v>12.721403232450673</v>
      </c>
      <c r="F707" s="1">
        <f t="shared" si="46"/>
        <v>5.3752281910213915</v>
      </c>
      <c r="G707" s="1">
        <f t="shared" si="46"/>
        <v>5.3752281910213915</v>
      </c>
      <c r="H707" s="1">
        <f t="shared" si="46"/>
        <v>5.3752281910213915</v>
      </c>
    </row>
    <row r="708" spans="1:8" ht="16.5" hidden="1" customHeight="1">
      <c r="A708" s="1">
        <f t="shared" si="46"/>
        <v>5.3752281910213915</v>
      </c>
      <c r="B708" s="1">
        <f t="shared" si="46"/>
        <v>5.3752281910213915</v>
      </c>
      <c r="C708" s="1">
        <f t="shared" si="46"/>
        <v>5.3752281910213915</v>
      </c>
      <c r="D708" s="1">
        <f t="shared" si="46"/>
        <v>5.3752281910213915</v>
      </c>
      <c r="E708" s="1">
        <f t="shared" si="46"/>
        <v>5.3752281910213915</v>
      </c>
      <c r="F708" s="1">
        <f>$D$693^2+B699</f>
        <v>10.473958003780849</v>
      </c>
      <c r="G708" s="1">
        <f t="shared" si="46"/>
        <v>5.3752281910213915</v>
      </c>
      <c r="H708" s="1">
        <f t="shared" si="46"/>
        <v>5.3752281910213915</v>
      </c>
    </row>
    <row r="709" spans="1:8" ht="16.5" hidden="1" customHeight="1">
      <c r="A709" s="1">
        <f t="shared" si="46"/>
        <v>5.3752281910213915</v>
      </c>
      <c r="B709" s="1">
        <f t="shared" si="46"/>
        <v>5.3752281910213915</v>
      </c>
      <c r="C709" s="1">
        <f t="shared" si="46"/>
        <v>5.3752281910213915</v>
      </c>
      <c r="D709" s="1">
        <f t="shared" si="46"/>
        <v>5.3752281910213915</v>
      </c>
      <c r="E709" s="1">
        <f t="shared" si="46"/>
        <v>5.3752281910213915</v>
      </c>
      <c r="F709" s="1">
        <f t="shared" si="46"/>
        <v>5.3752281910213915</v>
      </c>
      <c r="G709" s="1">
        <f>$D$693^2+B700</f>
        <v>11.419190918039986</v>
      </c>
      <c r="H709" s="1">
        <f t="shared" si="46"/>
        <v>5.3752281910213915</v>
      </c>
    </row>
    <row r="710" spans="1:8" ht="16.5" hidden="1" customHeight="1">
      <c r="A710" s="1">
        <f t="shared" si="46"/>
        <v>5.3752281910213915</v>
      </c>
      <c r="B710" s="1">
        <f t="shared" si="46"/>
        <v>5.3752281910213915</v>
      </c>
      <c r="C710" s="1">
        <f t="shared" si="46"/>
        <v>5.3752281910213915</v>
      </c>
      <c r="D710" s="1">
        <f t="shared" si="46"/>
        <v>5.3752281910213915</v>
      </c>
      <c r="E710" s="1">
        <f t="shared" si="46"/>
        <v>5.3752281910213915</v>
      </c>
      <c r="F710" s="1">
        <f t="shared" si="46"/>
        <v>5.3752281910213915</v>
      </c>
      <c r="G710" s="1">
        <f t="shared" si="46"/>
        <v>5.3752281910213915</v>
      </c>
      <c r="H710" s="1">
        <f>$D$693^2+B701</f>
        <v>11.733151681180953</v>
      </c>
    </row>
    <row r="711" spans="1:8" ht="16.5" hidden="1" customHeight="1">
      <c r="A711" s="1" t="s">
        <v>61</v>
      </c>
    </row>
    <row r="712" spans="1:8" ht="16.5" hidden="1" customHeight="1">
      <c r="A712" s="1">
        <f t="array" ref="A712:H719">MINVERSE(A703:H710)</f>
        <v>0.17170495298540514</v>
      </c>
      <c r="B712" s="1">
        <v>-2.2689246545396557E-2</v>
      </c>
      <c r="C712" s="1">
        <v>-2.1223706183006903E-2</v>
      </c>
      <c r="D712" s="1">
        <v>-2.2017363321335529E-2</v>
      </c>
      <c r="E712" s="1">
        <v>-1.7120206709459754E-2</v>
      </c>
      <c r="F712" s="1">
        <v>-2.4666542423646701E-2</v>
      </c>
      <c r="G712" s="1">
        <v>-2.0808870092946963E-2</v>
      </c>
      <c r="H712" s="1">
        <v>-1.978130680996714E-2</v>
      </c>
    </row>
    <row r="713" spans="1:8" ht="16.5" hidden="1" customHeight="1">
      <c r="A713" s="1">
        <v>-2.2689246545396561E-2</v>
      </c>
      <c r="B713" s="1">
        <v>0.15956474149170044</v>
      </c>
      <c r="C713" s="1">
        <v>-1.9494624813683723E-2</v>
      </c>
      <c r="D713" s="1">
        <v>-2.022362322748604E-2</v>
      </c>
      <c r="E713" s="1">
        <v>-1.5725434740556887E-2</v>
      </c>
      <c r="F713" s="1">
        <v>-2.2656975452516274E-2</v>
      </c>
      <c r="G713" s="1">
        <v>-1.9113585146758382E-2</v>
      </c>
      <c r="H713" s="1">
        <v>-1.8169736767908905E-2</v>
      </c>
    </row>
    <row r="714" spans="1:8" ht="16.5" hidden="1" customHeight="1">
      <c r="A714" s="1">
        <v>-2.1223706183006896E-2</v>
      </c>
      <c r="B714" s="1">
        <v>-1.9494624813683706E-2</v>
      </c>
      <c r="C714" s="1">
        <v>0.15051735381641809</v>
      </c>
      <c r="D714" s="1">
        <v>-1.8917342031486796E-2</v>
      </c>
      <c r="E714" s="1">
        <v>-1.4709699851242685E-2</v>
      </c>
      <c r="F714" s="1">
        <v>-2.1193519539650301E-2</v>
      </c>
      <c r="G714" s="1">
        <v>-1.7879003361660303E-2</v>
      </c>
      <c r="H714" s="1">
        <v>-1.6996119893761596E-2</v>
      </c>
    </row>
    <row r="715" spans="1:8" ht="16.5" hidden="1" customHeight="1">
      <c r="A715" s="1">
        <v>-2.2017363321335522E-2</v>
      </c>
      <c r="B715" s="1">
        <v>-2.0223623227486033E-2</v>
      </c>
      <c r="C715" s="1">
        <v>-1.8917342031486796E-2</v>
      </c>
      <c r="D715" s="1">
        <v>0.15543851545786921</v>
      </c>
      <c r="E715" s="1">
        <v>-1.5259766752326988E-2</v>
      </c>
      <c r="F715" s="1">
        <v>-2.1986047853221575E-2</v>
      </c>
      <c r="G715" s="1">
        <v>-1.8547585866611517E-2</v>
      </c>
      <c r="H715" s="1">
        <v>-1.7631687110969557E-2</v>
      </c>
    </row>
    <row r="716" spans="1:8" ht="16.5" hidden="1" customHeight="1">
      <c r="A716" s="1">
        <v>-1.7120206709459757E-2</v>
      </c>
      <c r="B716" s="1">
        <v>-1.5725434740556883E-2</v>
      </c>
      <c r="C716" s="1">
        <v>-1.4709699851242691E-2</v>
      </c>
      <c r="D716" s="1">
        <v>-1.5259766752326992E-2</v>
      </c>
      <c r="E716" s="1">
        <v>0.12425961015259136</v>
      </c>
      <c r="F716" s="1">
        <v>-1.7095856505509825E-2</v>
      </c>
      <c r="G716" s="1">
        <v>-1.4422185770543132E-2</v>
      </c>
      <c r="H716" s="1">
        <v>-1.3710003490009453E-2</v>
      </c>
    </row>
    <row r="717" spans="1:8" ht="16.5" hidden="1" customHeight="1">
      <c r="A717" s="1">
        <v>-2.4666542423646701E-2</v>
      </c>
      <c r="B717" s="1">
        <v>-2.2656975452516277E-2</v>
      </c>
      <c r="C717" s="1">
        <v>-2.1193519539650298E-2</v>
      </c>
      <c r="D717" s="1">
        <v>-2.1986047853221571E-2</v>
      </c>
      <c r="E717" s="1">
        <v>-1.7095856505509825E-2</v>
      </c>
      <c r="F717" s="1">
        <v>0.17149581910364689</v>
      </c>
      <c r="G717" s="1">
        <v>-2.07792734742069E-2</v>
      </c>
      <c r="H717" s="1">
        <v>-1.9753171702524035E-2</v>
      </c>
    </row>
    <row r="718" spans="1:8" ht="16.5" hidden="1" customHeight="1">
      <c r="A718" s="1">
        <v>-2.0808870092946959E-2</v>
      </c>
      <c r="B718" s="1">
        <v>-1.9113585146758389E-2</v>
      </c>
      <c r="C718" s="1">
        <v>-1.7879003361660307E-2</v>
      </c>
      <c r="D718" s="1">
        <v>-1.8547585866611524E-2</v>
      </c>
      <c r="E718" s="1">
        <v>-1.4422185770543135E-2</v>
      </c>
      <c r="F718" s="1">
        <v>-2.0779273474206904E-2</v>
      </c>
      <c r="G718" s="1">
        <v>0.14792482006099386</v>
      </c>
      <c r="H718" s="1">
        <v>-1.6663915713109913E-2</v>
      </c>
    </row>
    <row r="719" spans="1:8" ht="16.5" hidden="1" customHeight="1">
      <c r="A719" s="1">
        <v>-1.978130680996714E-2</v>
      </c>
      <c r="B719" s="1">
        <v>-1.8169736767908912E-2</v>
      </c>
      <c r="C719" s="1">
        <v>-1.699611989376159E-2</v>
      </c>
      <c r="D719" s="1">
        <v>-1.7631687110969557E-2</v>
      </c>
      <c r="E719" s="1">
        <v>-1.3710003490009453E-2</v>
      </c>
      <c r="F719" s="1">
        <v>-1.9753171702524035E-2</v>
      </c>
      <c r="G719" s="1">
        <v>-1.6663915713109913E-2</v>
      </c>
      <c r="H719" s="1">
        <v>0.14144302238547626</v>
      </c>
    </row>
    <row r="720" spans="1:8" ht="16.5" hidden="1" customHeight="1">
      <c r="A720" s="1" t="s">
        <v>54</v>
      </c>
    </row>
    <row r="721" spans="1:8" ht="16.5" hidden="1" customHeight="1">
      <c r="A721" s="1" t="e">
        <f t="array" ref="A721:H728">MMULT(A80:H87,A712:H719)</f>
        <v>#VALUE!</v>
      </c>
      <c r="B721" s="1" t="e">
        <v>#VALUE!</v>
      </c>
      <c r="C721" s="1" t="e">
        <v>#VALUE!</v>
      </c>
      <c r="D721" s="1" t="e">
        <v>#VALUE!</v>
      </c>
      <c r="E721" s="1" t="e">
        <v>#VALUE!</v>
      </c>
      <c r="F721" s="1" t="e">
        <v>#VALUE!</v>
      </c>
      <c r="G721" s="1" t="e">
        <v>#VALUE!</v>
      </c>
      <c r="H721" s="1" t="e">
        <v>#VALUE!</v>
      </c>
    </row>
    <row r="722" spans="1:8" ht="16.5" hidden="1" customHeight="1">
      <c r="A722" s="1" t="e">
        <v>#VALUE!</v>
      </c>
      <c r="B722" s="1" t="e">
        <v>#VALUE!</v>
      </c>
      <c r="C722" s="1" t="e">
        <v>#VALUE!</v>
      </c>
      <c r="D722" s="1" t="e">
        <v>#VALUE!</v>
      </c>
      <c r="E722" s="1" t="e">
        <v>#VALUE!</v>
      </c>
      <c r="F722" s="1" t="e">
        <v>#VALUE!</v>
      </c>
      <c r="G722" s="1" t="e">
        <v>#VALUE!</v>
      </c>
      <c r="H722" s="1" t="e">
        <v>#VALUE!</v>
      </c>
    </row>
    <row r="723" spans="1:8" ht="16.5" hidden="1" customHeight="1">
      <c r="A723" s="1" t="e">
        <v>#VALUE!</v>
      </c>
      <c r="B723" s="1" t="e">
        <v>#VALUE!</v>
      </c>
      <c r="C723" s="1" t="e">
        <v>#VALUE!</v>
      </c>
      <c r="D723" s="1" t="e">
        <v>#VALUE!</v>
      </c>
      <c r="E723" s="1" t="e">
        <v>#VALUE!</v>
      </c>
      <c r="F723" s="1" t="e">
        <v>#VALUE!</v>
      </c>
      <c r="G723" s="1" t="e">
        <v>#VALUE!</v>
      </c>
      <c r="H723" s="1" t="e">
        <v>#VALUE!</v>
      </c>
    </row>
    <row r="724" spans="1:8" ht="16.5" hidden="1" customHeight="1">
      <c r="A724" s="1" t="e">
        <v>#VALUE!</v>
      </c>
      <c r="B724" s="1" t="e">
        <v>#VALUE!</v>
      </c>
      <c r="C724" s="1" t="e">
        <v>#VALUE!</v>
      </c>
      <c r="D724" s="1" t="e">
        <v>#VALUE!</v>
      </c>
      <c r="E724" s="1" t="e">
        <v>#VALUE!</v>
      </c>
      <c r="F724" s="1" t="e">
        <v>#VALUE!</v>
      </c>
      <c r="G724" s="1" t="e">
        <v>#VALUE!</v>
      </c>
      <c r="H724" s="1" t="e">
        <v>#VALUE!</v>
      </c>
    </row>
    <row r="725" spans="1:8" ht="16.5" hidden="1" customHeight="1">
      <c r="A725" s="1" t="e">
        <v>#VALUE!</v>
      </c>
      <c r="B725" s="1" t="e">
        <v>#VALUE!</v>
      </c>
      <c r="C725" s="1" t="e">
        <v>#VALUE!</v>
      </c>
      <c r="D725" s="1" t="e">
        <v>#VALUE!</v>
      </c>
      <c r="E725" s="1" t="e">
        <v>#VALUE!</v>
      </c>
      <c r="F725" s="1" t="e">
        <v>#VALUE!</v>
      </c>
      <c r="G725" s="1" t="e">
        <v>#VALUE!</v>
      </c>
      <c r="H725" s="1" t="e">
        <v>#VALUE!</v>
      </c>
    </row>
    <row r="726" spans="1:8" ht="16.5" hidden="1" customHeight="1">
      <c r="A726" s="1" t="e">
        <v>#VALUE!</v>
      </c>
      <c r="B726" s="1" t="e">
        <v>#VALUE!</v>
      </c>
      <c r="C726" s="1" t="e">
        <v>#VALUE!</v>
      </c>
      <c r="D726" s="1" t="e">
        <v>#VALUE!</v>
      </c>
      <c r="E726" s="1" t="e">
        <v>#VALUE!</v>
      </c>
      <c r="F726" s="1" t="e">
        <v>#VALUE!</v>
      </c>
      <c r="G726" s="1" t="e">
        <v>#VALUE!</v>
      </c>
      <c r="H726" s="1" t="e">
        <v>#VALUE!</v>
      </c>
    </row>
    <row r="727" spans="1:8" ht="16.5" hidden="1" customHeight="1">
      <c r="A727" s="1" t="e">
        <v>#VALUE!</v>
      </c>
      <c r="B727" s="1" t="e">
        <v>#VALUE!</v>
      </c>
      <c r="C727" s="1" t="e">
        <v>#VALUE!</v>
      </c>
      <c r="D727" s="1" t="e">
        <v>#VALUE!</v>
      </c>
      <c r="E727" s="1" t="e">
        <v>#VALUE!</v>
      </c>
      <c r="F727" s="1" t="e">
        <v>#VALUE!</v>
      </c>
      <c r="G727" s="1" t="e">
        <v>#VALUE!</v>
      </c>
      <c r="H727" s="1" t="e">
        <v>#VALUE!</v>
      </c>
    </row>
    <row r="728" spans="1:8" ht="16.5" hidden="1" customHeight="1">
      <c r="A728" s="1" t="e">
        <v>#VALUE!</v>
      </c>
      <c r="B728" s="1" t="e">
        <v>#VALUE!</v>
      </c>
      <c r="C728" s="1" t="e">
        <v>#VALUE!</v>
      </c>
      <c r="D728" s="1" t="e">
        <v>#VALUE!</v>
      </c>
      <c r="E728" s="1" t="e">
        <v>#VALUE!</v>
      </c>
      <c r="F728" s="1" t="e">
        <v>#VALUE!</v>
      </c>
      <c r="G728" s="1" t="e">
        <v>#VALUE!</v>
      </c>
      <c r="H728" s="1" t="e">
        <v>#VALUE!</v>
      </c>
    </row>
    <row r="729" spans="1:8" ht="16.5" hidden="1" customHeight="1">
      <c r="A729" s="1" t="s">
        <v>41</v>
      </c>
    </row>
    <row r="730" spans="1:8" ht="16.5" hidden="1" customHeight="1">
      <c r="A730" s="1" t="e">
        <f>LN(MDETERM(A703:H710))+SUM(A721,B722,C723,D724,E725,F726,G727,H728)-LN(MDETERM(A80:H87))-8</f>
        <v>#VALUE!</v>
      </c>
    </row>
    <row r="731" spans="1:8" ht="16.5" hidden="1" customHeight="1">
      <c r="A731" s="1" t="e">
        <f>MIN($A$730)</f>
        <v>#VALUE!</v>
      </c>
    </row>
    <row r="732" spans="1:8" ht="16.5" hidden="1" customHeight="1">
      <c r="A732" s="1">
        <f>COUNT($B$694,$B$695,$B$696,$B$697,$B$698,$B$699,$B$700,$B$701,$D$693)</f>
        <v>9</v>
      </c>
    </row>
    <row r="733" spans="1:8" ht="16.5" hidden="1" customHeight="1">
      <c r="A733" s="1">
        <f>{32767,32767,0.000001,0.01,FALSE,FALSE,TRUE,1,1,1,0.0001,TRUE}</f>
        <v>32767</v>
      </c>
    </row>
    <row r="734" spans="1:8" ht="16.5" hidden="1" customHeight="1">
      <c r="A734" s="1">
        <f>{0,0,1,100,0,FALSE,TRUE,0.075,0,0,FALSE,30}</f>
        <v>0</v>
      </c>
    </row>
    <row r="735" spans="1:8" ht="16.5" hidden="1" customHeight="1">
      <c r="A735" s="1" t="s">
        <v>70</v>
      </c>
    </row>
    <row r="736" spans="1:8" ht="16.5" hidden="1" customHeight="1">
      <c r="A736" s="1" t="s">
        <v>45</v>
      </c>
      <c r="B736" s="1" t="s">
        <v>46</v>
      </c>
      <c r="C736" s="1" t="s">
        <v>53</v>
      </c>
      <c r="D736" s="1">
        <v>2.3145506702442904</v>
      </c>
    </row>
    <row r="737" spans="1:8" ht="16.5" hidden="1" customHeight="1">
      <c r="C737" s="1" t="s">
        <v>68</v>
      </c>
      <c r="D737" s="1">
        <v>5.8928553832914909</v>
      </c>
    </row>
    <row r="738" spans="1:8" ht="16.5" hidden="1" customHeight="1">
      <c r="A738" s="1" t="s">
        <v>71</v>
      </c>
    </row>
    <row r="739" spans="1:8" ht="16.5" hidden="1" customHeight="1">
      <c r="A739" s="1">
        <f>$D$736^2+D737</f>
        <v>11.250000188419785</v>
      </c>
      <c r="B739" s="1">
        <f t="shared" ref="B739:H739" si="47">$D$736^2</f>
        <v>5.3571448051282937</v>
      </c>
      <c r="C739" s="1">
        <f t="shared" si="47"/>
        <v>5.3571448051282937</v>
      </c>
      <c r="D739" s="1">
        <f t="shared" si="47"/>
        <v>5.3571448051282937</v>
      </c>
      <c r="E739" s="1">
        <f t="shared" si="47"/>
        <v>5.3571448051282937</v>
      </c>
      <c r="F739" s="1">
        <f t="shared" si="47"/>
        <v>5.3571448051282937</v>
      </c>
      <c r="G739" s="1">
        <f t="shared" si="47"/>
        <v>5.3571448051282937</v>
      </c>
      <c r="H739" s="1">
        <f t="shared" si="47"/>
        <v>5.3571448051282937</v>
      </c>
    </row>
    <row r="740" spans="1:8" ht="16.5" hidden="1" customHeight="1">
      <c r="A740" s="1">
        <f t="shared" ref="A740:H746" si="48">$D$736^2</f>
        <v>5.3571448051282937</v>
      </c>
      <c r="B740" s="1">
        <f>$D$736^2+D737</f>
        <v>11.250000188419785</v>
      </c>
      <c r="C740" s="1">
        <f t="shared" si="48"/>
        <v>5.3571448051282937</v>
      </c>
      <c r="D740" s="1">
        <f t="shared" si="48"/>
        <v>5.3571448051282937</v>
      </c>
      <c r="E740" s="1">
        <f t="shared" si="48"/>
        <v>5.3571448051282937</v>
      </c>
      <c r="F740" s="1">
        <f t="shared" si="48"/>
        <v>5.3571448051282937</v>
      </c>
      <c r="G740" s="1">
        <f t="shared" si="48"/>
        <v>5.3571448051282937</v>
      </c>
      <c r="H740" s="1">
        <f t="shared" si="48"/>
        <v>5.3571448051282937</v>
      </c>
    </row>
    <row r="741" spans="1:8" ht="16.5" hidden="1" customHeight="1">
      <c r="A741" s="1">
        <f t="shared" si="48"/>
        <v>5.3571448051282937</v>
      </c>
      <c r="B741" s="1">
        <f t="shared" si="48"/>
        <v>5.3571448051282937</v>
      </c>
      <c r="C741" s="1">
        <f>$D$736^2+D737</f>
        <v>11.250000188419785</v>
      </c>
      <c r="D741" s="1">
        <f t="shared" si="48"/>
        <v>5.3571448051282937</v>
      </c>
      <c r="E741" s="1">
        <f t="shared" si="48"/>
        <v>5.3571448051282937</v>
      </c>
      <c r="F741" s="1">
        <f t="shared" si="48"/>
        <v>5.3571448051282937</v>
      </c>
      <c r="G741" s="1">
        <f t="shared" si="48"/>
        <v>5.3571448051282937</v>
      </c>
      <c r="H741" s="1">
        <f t="shared" si="48"/>
        <v>5.3571448051282937</v>
      </c>
    </row>
    <row r="742" spans="1:8" ht="16.5" hidden="1" customHeight="1">
      <c r="A742" s="1">
        <f t="shared" si="48"/>
        <v>5.3571448051282937</v>
      </c>
      <c r="B742" s="1">
        <f t="shared" si="48"/>
        <v>5.3571448051282937</v>
      </c>
      <c r="C742" s="1">
        <f t="shared" si="48"/>
        <v>5.3571448051282937</v>
      </c>
      <c r="D742" s="1">
        <f>$D$736^2+D737</f>
        <v>11.250000188419785</v>
      </c>
      <c r="E742" s="1">
        <f t="shared" si="48"/>
        <v>5.3571448051282937</v>
      </c>
      <c r="F742" s="1">
        <f t="shared" si="48"/>
        <v>5.3571448051282937</v>
      </c>
      <c r="G742" s="1">
        <f t="shared" si="48"/>
        <v>5.3571448051282937</v>
      </c>
      <c r="H742" s="1">
        <f t="shared" si="48"/>
        <v>5.3571448051282937</v>
      </c>
    </row>
    <row r="743" spans="1:8" ht="16.5" hidden="1" customHeight="1">
      <c r="A743" s="1">
        <f t="shared" si="48"/>
        <v>5.3571448051282937</v>
      </c>
      <c r="B743" s="1">
        <f t="shared" si="48"/>
        <v>5.3571448051282937</v>
      </c>
      <c r="C743" s="1">
        <f t="shared" si="48"/>
        <v>5.3571448051282937</v>
      </c>
      <c r="D743" s="1">
        <f t="shared" si="48"/>
        <v>5.3571448051282937</v>
      </c>
      <c r="E743" s="1">
        <f>$D$736^2+D737</f>
        <v>11.250000188419785</v>
      </c>
      <c r="F743" s="1">
        <f t="shared" si="48"/>
        <v>5.3571448051282937</v>
      </c>
      <c r="G743" s="1">
        <f t="shared" si="48"/>
        <v>5.3571448051282937</v>
      </c>
      <c r="H743" s="1">
        <f t="shared" si="48"/>
        <v>5.3571448051282937</v>
      </c>
    </row>
    <row r="744" spans="1:8" ht="16.5" hidden="1" customHeight="1">
      <c r="A744" s="1">
        <f t="shared" si="48"/>
        <v>5.3571448051282937</v>
      </c>
      <c r="B744" s="1">
        <f t="shared" si="48"/>
        <v>5.3571448051282937</v>
      </c>
      <c r="C744" s="1">
        <f t="shared" si="48"/>
        <v>5.3571448051282937</v>
      </c>
      <c r="D744" s="1">
        <f t="shared" si="48"/>
        <v>5.3571448051282937</v>
      </c>
      <c r="E744" s="1">
        <f t="shared" si="48"/>
        <v>5.3571448051282937</v>
      </c>
      <c r="F744" s="1">
        <f>$D$736^2+D737</f>
        <v>11.250000188419785</v>
      </c>
      <c r="G744" s="1">
        <f t="shared" si="48"/>
        <v>5.3571448051282937</v>
      </c>
      <c r="H744" s="1">
        <f t="shared" si="48"/>
        <v>5.3571448051282937</v>
      </c>
    </row>
    <row r="745" spans="1:8" ht="16.5" hidden="1" customHeight="1">
      <c r="A745" s="1">
        <f t="shared" si="48"/>
        <v>5.3571448051282937</v>
      </c>
      <c r="B745" s="1">
        <f t="shared" si="48"/>
        <v>5.3571448051282937</v>
      </c>
      <c r="C745" s="1">
        <f t="shared" si="48"/>
        <v>5.3571448051282937</v>
      </c>
      <c r="D745" s="1">
        <f t="shared" si="48"/>
        <v>5.3571448051282937</v>
      </c>
      <c r="E745" s="1">
        <f t="shared" si="48"/>
        <v>5.3571448051282937</v>
      </c>
      <c r="F745" s="1">
        <f t="shared" si="48"/>
        <v>5.3571448051282937</v>
      </c>
      <c r="G745" s="1">
        <f>$D$736^2+D737</f>
        <v>11.250000188419785</v>
      </c>
      <c r="H745" s="1">
        <f t="shared" si="48"/>
        <v>5.3571448051282937</v>
      </c>
    </row>
    <row r="746" spans="1:8" ht="16.5" hidden="1" customHeight="1">
      <c r="A746" s="1">
        <f t="shared" si="48"/>
        <v>5.3571448051282937</v>
      </c>
      <c r="B746" s="1">
        <f t="shared" si="48"/>
        <v>5.3571448051282937</v>
      </c>
      <c r="C746" s="1">
        <f t="shared" si="48"/>
        <v>5.3571448051282937</v>
      </c>
      <c r="D746" s="1">
        <f t="shared" si="48"/>
        <v>5.3571448051282937</v>
      </c>
      <c r="E746" s="1">
        <f t="shared" si="48"/>
        <v>5.3571448051282937</v>
      </c>
      <c r="F746" s="1">
        <f t="shared" si="48"/>
        <v>5.3571448051282937</v>
      </c>
      <c r="G746" s="1">
        <f t="shared" si="48"/>
        <v>5.3571448051282937</v>
      </c>
      <c r="H746" s="1">
        <f>$D$736^2+D737</f>
        <v>11.250000188419785</v>
      </c>
    </row>
    <row r="747" spans="1:8" ht="16.5" hidden="1" customHeight="1">
      <c r="A747" s="1" t="s">
        <v>61</v>
      </c>
    </row>
    <row r="748" spans="1:8" ht="16.5" hidden="1" customHeight="1">
      <c r="A748" s="1">
        <f t="array" ref="A748:H755">MINVERSE(A739:H746)</f>
        <v>0.15104899465837743</v>
      </c>
      <c r="B748" s="1">
        <v>-1.8648025708927686E-2</v>
      </c>
      <c r="C748" s="1">
        <v>-1.8648025708927679E-2</v>
      </c>
      <c r="D748" s="1">
        <v>-1.86480257089277E-2</v>
      </c>
      <c r="E748" s="1">
        <v>-1.8648025708927679E-2</v>
      </c>
      <c r="F748" s="1">
        <v>-1.8648025708927686E-2</v>
      </c>
      <c r="G748" s="1">
        <v>-1.8648025708927683E-2</v>
      </c>
      <c r="H748" s="1">
        <v>-1.8648025708927686E-2</v>
      </c>
    </row>
    <row r="749" spans="1:8" ht="16.5" hidden="1" customHeight="1">
      <c r="A749" s="1">
        <v>-1.8648025708927686E-2</v>
      </c>
      <c r="B749" s="1">
        <v>0.15104899465837746</v>
      </c>
      <c r="C749" s="1">
        <v>-1.8648025708927676E-2</v>
      </c>
      <c r="D749" s="1">
        <v>-1.8648025708927693E-2</v>
      </c>
      <c r="E749" s="1">
        <v>-1.8648025708927676E-2</v>
      </c>
      <c r="F749" s="1">
        <v>-1.8648025708927676E-2</v>
      </c>
      <c r="G749" s="1">
        <v>-1.8648025708927683E-2</v>
      </c>
      <c r="H749" s="1">
        <v>-1.8648025708927683E-2</v>
      </c>
    </row>
    <row r="750" spans="1:8" ht="16.5" hidden="1" customHeight="1">
      <c r="A750" s="1">
        <v>-1.8648025708927679E-2</v>
      </c>
      <c r="B750" s="1">
        <v>-1.8648025708927676E-2</v>
      </c>
      <c r="C750" s="1">
        <v>0.15104899465837746</v>
      </c>
      <c r="D750" s="1">
        <v>-1.8648025708927686E-2</v>
      </c>
      <c r="E750" s="1">
        <v>-1.8648025708927665E-2</v>
      </c>
      <c r="F750" s="1">
        <v>-1.8648025708927679E-2</v>
      </c>
      <c r="G750" s="1">
        <v>-1.8648025708927683E-2</v>
      </c>
      <c r="H750" s="1">
        <v>-1.8648025708927679E-2</v>
      </c>
    </row>
    <row r="751" spans="1:8" ht="16.5" hidden="1" customHeight="1">
      <c r="A751" s="1">
        <v>-1.8648025708927689E-2</v>
      </c>
      <c r="B751" s="1">
        <v>-1.8648025708927686E-2</v>
      </c>
      <c r="C751" s="1">
        <v>-1.8648025708927689E-2</v>
      </c>
      <c r="D751" s="1">
        <v>0.15104899465837751</v>
      </c>
      <c r="E751" s="1">
        <v>-1.8648025708927679E-2</v>
      </c>
      <c r="F751" s="1">
        <v>-1.8648025708927686E-2</v>
      </c>
      <c r="G751" s="1">
        <v>-1.8648025708927686E-2</v>
      </c>
      <c r="H751" s="1">
        <v>-1.8648025708927686E-2</v>
      </c>
    </row>
    <row r="752" spans="1:8" ht="16.5" hidden="1" customHeight="1">
      <c r="A752" s="1">
        <v>-1.8648025708927679E-2</v>
      </c>
      <c r="B752" s="1">
        <v>-1.8648025708927679E-2</v>
      </c>
      <c r="C752" s="1">
        <v>-1.8648025708927679E-2</v>
      </c>
      <c r="D752" s="1">
        <v>-1.8648025708927679E-2</v>
      </c>
      <c r="E752" s="1">
        <v>0.15104899465837743</v>
      </c>
      <c r="F752" s="1">
        <v>-1.8648025708927686E-2</v>
      </c>
      <c r="G752" s="1">
        <v>-1.8648025708927686E-2</v>
      </c>
      <c r="H752" s="1">
        <v>-1.8648025708927689E-2</v>
      </c>
    </row>
    <row r="753" spans="1:8" ht="16.5" hidden="1" customHeight="1">
      <c r="A753" s="1">
        <v>-1.8648025708927686E-2</v>
      </c>
      <c r="B753" s="1">
        <v>-1.8648025708927679E-2</v>
      </c>
      <c r="C753" s="1">
        <v>-1.8648025708927686E-2</v>
      </c>
      <c r="D753" s="1">
        <v>-1.8648025708927686E-2</v>
      </c>
      <c r="E753" s="1">
        <v>-1.8648025708927686E-2</v>
      </c>
      <c r="F753" s="1">
        <v>0.15104899465837748</v>
      </c>
      <c r="G753" s="1">
        <v>-1.8648025708927686E-2</v>
      </c>
      <c r="H753" s="1">
        <v>-1.8648025708927686E-2</v>
      </c>
    </row>
    <row r="754" spans="1:8" ht="16.5" hidden="1" customHeight="1">
      <c r="A754" s="1">
        <v>-1.8648025708927686E-2</v>
      </c>
      <c r="B754" s="1">
        <v>-1.8648025708927686E-2</v>
      </c>
      <c r="C754" s="1">
        <v>-1.8648025708927686E-2</v>
      </c>
      <c r="D754" s="1">
        <v>-1.8648025708927686E-2</v>
      </c>
      <c r="E754" s="1">
        <v>-1.8648025708927686E-2</v>
      </c>
      <c r="F754" s="1">
        <v>-1.8648025708927689E-2</v>
      </c>
      <c r="G754" s="1">
        <v>0.15104899465837748</v>
      </c>
      <c r="H754" s="1">
        <v>-1.8648025708927686E-2</v>
      </c>
    </row>
    <row r="755" spans="1:8" ht="16.5" hidden="1" customHeight="1">
      <c r="A755" s="1">
        <v>-1.8648025708927686E-2</v>
      </c>
      <c r="B755" s="1">
        <v>-1.8648025708927686E-2</v>
      </c>
      <c r="C755" s="1">
        <v>-1.8648025708927686E-2</v>
      </c>
      <c r="D755" s="1">
        <v>-1.8648025708927686E-2</v>
      </c>
      <c r="E755" s="1">
        <v>-1.8648025708927686E-2</v>
      </c>
      <c r="F755" s="1">
        <v>-1.8648025708927689E-2</v>
      </c>
      <c r="G755" s="1">
        <v>-1.8648025708927689E-2</v>
      </c>
      <c r="H755" s="1">
        <v>0.15104899465837748</v>
      </c>
    </row>
    <row r="756" spans="1:8" ht="16.5" hidden="1" customHeight="1">
      <c r="A756" s="1" t="s">
        <v>54</v>
      </c>
    </row>
    <row r="757" spans="1:8" ht="16.5" hidden="1" customHeight="1">
      <c r="A757" s="1" t="e">
        <f t="array" ref="A757:H764">MMULT(A80:H87,A748:H755)</f>
        <v>#VALUE!</v>
      </c>
      <c r="B757" s="1" t="e">
        <v>#VALUE!</v>
      </c>
      <c r="C757" s="1" t="e">
        <v>#VALUE!</v>
      </c>
      <c r="D757" s="1" t="e">
        <v>#VALUE!</v>
      </c>
      <c r="E757" s="1" t="e">
        <v>#VALUE!</v>
      </c>
      <c r="F757" s="1" t="e">
        <v>#VALUE!</v>
      </c>
      <c r="G757" s="1" t="e">
        <v>#VALUE!</v>
      </c>
      <c r="H757" s="1" t="e">
        <v>#VALUE!</v>
      </c>
    </row>
    <row r="758" spans="1:8" ht="16.5" hidden="1" customHeight="1">
      <c r="A758" s="1" t="e">
        <v>#VALUE!</v>
      </c>
      <c r="B758" s="1" t="e">
        <v>#VALUE!</v>
      </c>
      <c r="C758" s="1" t="e">
        <v>#VALUE!</v>
      </c>
      <c r="D758" s="1" t="e">
        <v>#VALUE!</v>
      </c>
      <c r="E758" s="1" t="e">
        <v>#VALUE!</v>
      </c>
      <c r="F758" s="1" t="e">
        <v>#VALUE!</v>
      </c>
      <c r="G758" s="1" t="e">
        <v>#VALUE!</v>
      </c>
      <c r="H758" s="1" t="e">
        <v>#VALUE!</v>
      </c>
    </row>
    <row r="759" spans="1:8" ht="16.5" hidden="1" customHeight="1">
      <c r="A759" s="1" t="e">
        <v>#VALUE!</v>
      </c>
      <c r="B759" s="1" t="e">
        <v>#VALUE!</v>
      </c>
      <c r="C759" s="1" t="e">
        <v>#VALUE!</v>
      </c>
      <c r="D759" s="1" t="e">
        <v>#VALUE!</v>
      </c>
      <c r="E759" s="1" t="e">
        <v>#VALUE!</v>
      </c>
      <c r="F759" s="1" t="e">
        <v>#VALUE!</v>
      </c>
      <c r="G759" s="1" t="e">
        <v>#VALUE!</v>
      </c>
      <c r="H759" s="1" t="e">
        <v>#VALUE!</v>
      </c>
    </row>
    <row r="760" spans="1:8" ht="16.5" hidden="1" customHeight="1">
      <c r="A760" s="1" t="e">
        <v>#VALUE!</v>
      </c>
      <c r="B760" s="1" t="e">
        <v>#VALUE!</v>
      </c>
      <c r="C760" s="1" t="e">
        <v>#VALUE!</v>
      </c>
      <c r="D760" s="1" t="e">
        <v>#VALUE!</v>
      </c>
      <c r="E760" s="1" t="e">
        <v>#VALUE!</v>
      </c>
      <c r="F760" s="1" t="e">
        <v>#VALUE!</v>
      </c>
      <c r="G760" s="1" t="e">
        <v>#VALUE!</v>
      </c>
      <c r="H760" s="1" t="e">
        <v>#VALUE!</v>
      </c>
    </row>
    <row r="761" spans="1:8" ht="16.5" hidden="1" customHeight="1">
      <c r="A761" s="1" t="e">
        <v>#VALUE!</v>
      </c>
      <c r="B761" s="1" t="e">
        <v>#VALUE!</v>
      </c>
      <c r="C761" s="1" t="e">
        <v>#VALUE!</v>
      </c>
      <c r="D761" s="1" t="e">
        <v>#VALUE!</v>
      </c>
      <c r="E761" s="1" t="e">
        <v>#VALUE!</v>
      </c>
      <c r="F761" s="1" t="e">
        <v>#VALUE!</v>
      </c>
      <c r="G761" s="1" t="e">
        <v>#VALUE!</v>
      </c>
      <c r="H761" s="1" t="e">
        <v>#VALUE!</v>
      </c>
    </row>
    <row r="762" spans="1:8" ht="16.5" hidden="1" customHeight="1">
      <c r="A762" s="1" t="e">
        <v>#VALUE!</v>
      </c>
      <c r="B762" s="1" t="e">
        <v>#VALUE!</v>
      </c>
      <c r="C762" s="1" t="e">
        <v>#VALUE!</v>
      </c>
      <c r="D762" s="1" t="e">
        <v>#VALUE!</v>
      </c>
      <c r="E762" s="1" t="e">
        <v>#VALUE!</v>
      </c>
      <c r="F762" s="1" t="e">
        <v>#VALUE!</v>
      </c>
      <c r="G762" s="1" t="e">
        <v>#VALUE!</v>
      </c>
      <c r="H762" s="1" t="e">
        <v>#VALUE!</v>
      </c>
    </row>
    <row r="763" spans="1:8" ht="16.5" hidden="1" customHeight="1">
      <c r="A763" s="1" t="e">
        <v>#VALUE!</v>
      </c>
      <c r="B763" s="1" t="e">
        <v>#VALUE!</v>
      </c>
      <c r="C763" s="1" t="e">
        <v>#VALUE!</v>
      </c>
      <c r="D763" s="1" t="e">
        <v>#VALUE!</v>
      </c>
      <c r="E763" s="1" t="e">
        <v>#VALUE!</v>
      </c>
      <c r="F763" s="1" t="e">
        <v>#VALUE!</v>
      </c>
      <c r="G763" s="1" t="e">
        <v>#VALUE!</v>
      </c>
      <c r="H763" s="1" t="e">
        <v>#VALUE!</v>
      </c>
    </row>
    <row r="764" spans="1:8" ht="16.5" hidden="1" customHeight="1">
      <c r="A764" s="1" t="e">
        <v>#VALUE!</v>
      </c>
      <c r="B764" s="1" t="e">
        <v>#VALUE!</v>
      </c>
      <c r="C764" s="1" t="e">
        <v>#VALUE!</v>
      </c>
      <c r="D764" s="1" t="e">
        <v>#VALUE!</v>
      </c>
      <c r="E764" s="1" t="e">
        <v>#VALUE!</v>
      </c>
      <c r="F764" s="1" t="e">
        <v>#VALUE!</v>
      </c>
      <c r="G764" s="1" t="e">
        <v>#VALUE!</v>
      </c>
      <c r="H764" s="1" t="e">
        <v>#VALUE!</v>
      </c>
    </row>
    <row r="765" spans="1:8" ht="16.5" hidden="1" customHeight="1">
      <c r="A765" s="1" t="s">
        <v>41</v>
      </c>
    </row>
    <row r="766" spans="1:8" ht="16.5" hidden="1" customHeight="1">
      <c r="A766" s="1" t="e">
        <f>LN(MDETERM(A739:H746))+SUM(A757,B758,C759,D760,E761,F762,G763,H764)-LN(MDETERM(A80:H87))-8</f>
        <v>#VALUE!</v>
      </c>
    </row>
    <row r="767" spans="1:8" ht="16.5" hidden="1" customHeight="1">
      <c r="A767" s="1" t="e">
        <f>MIN($A$766)</f>
        <v>#VALUE!</v>
      </c>
    </row>
    <row r="768" spans="1:8" ht="16.5" hidden="1" customHeight="1">
      <c r="A768" s="1">
        <f>COUNT($D$736,$D$737)</f>
        <v>2</v>
      </c>
    </row>
    <row r="769" spans="1:8" ht="16.5" hidden="1" customHeight="1">
      <c r="A769" s="1">
        <f>{32767,32767,0.000001,0.01,FALSE,FALSE,TRUE,1,1,1,0.0001,TRUE}</f>
        <v>32767</v>
      </c>
    </row>
    <row r="770" spans="1:8" ht="16.5" hidden="1" customHeight="1">
      <c r="A770" s="1">
        <f>{0,0,1,100,0,FALSE,TRUE,0.075,0,0,FALSE,30}</f>
        <v>0</v>
      </c>
    </row>
    <row r="771" spans="1:8" ht="16.5" hidden="1" customHeight="1">
      <c r="A771" s="1" t="s">
        <v>65</v>
      </c>
    </row>
    <row r="772" spans="1:8" ht="16.5" hidden="1" customHeight="1">
      <c r="A772" s="1">
        <f>A80</f>
        <v>10</v>
      </c>
      <c r="B772" s="1">
        <v>0</v>
      </c>
      <c r="C772" s="1">
        <v>0</v>
      </c>
      <c r="D772" s="1">
        <v>0</v>
      </c>
      <c r="E772" s="1">
        <v>0</v>
      </c>
      <c r="F772" s="1">
        <v>0</v>
      </c>
      <c r="G772" s="1">
        <v>0</v>
      </c>
      <c r="H772" s="1">
        <v>0</v>
      </c>
    </row>
    <row r="773" spans="1:8" ht="16.5" hidden="1" customHeight="1">
      <c r="A773" s="1">
        <v>0</v>
      </c>
      <c r="B773" s="1">
        <f>B81</f>
        <v>11</v>
      </c>
      <c r="C773" s="1">
        <v>0</v>
      </c>
      <c r="D773" s="1">
        <v>0</v>
      </c>
      <c r="E773" s="1">
        <v>0</v>
      </c>
      <c r="F773" s="1">
        <v>0</v>
      </c>
      <c r="G773" s="1">
        <v>0</v>
      </c>
      <c r="H773" s="1">
        <v>0</v>
      </c>
    </row>
    <row r="774" spans="1:8" ht="16.5" hidden="1" customHeight="1">
      <c r="A774" s="1">
        <v>0</v>
      </c>
      <c r="B774" s="1">
        <v>0</v>
      </c>
      <c r="C774" s="1">
        <f>C82</f>
        <v>12</v>
      </c>
      <c r="D774" s="1">
        <v>0</v>
      </c>
      <c r="E774" s="1">
        <v>0</v>
      </c>
      <c r="F774" s="1">
        <v>0</v>
      </c>
      <c r="G774" s="1">
        <v>0</v>
      </c>
      <c r="H774" s="1">
        <v>0</v>
      </c>
    </row>
    <row r="775" spans="1:8" ht="16.5" hidden="1" customHeight="1">
      <c r="A775" s="1">
        <v>0</v>
      </c>
      <c r="B775" s="1">
        <v>0</v>
      </c>
      <c r="C775" s="1">
        <v>0</v>
      </c>
      <c r="D775" s="1">
        <f>D83</f>
        <v>0</v>
      </c>
      <c r="E775" s="1">
        <v>0</v>
      </c>
      <c r="F775" s="1">
        <v>0</v>
      </c>
      <c r="G775" s="1">
        <v>0</v>
      </c>
      <c r="H775" s="1">
        <v>0</v>
      </c>
    </row>
    <row r="776" spans="1:8" ht="16.5" hidden="1" customHeight="1">
      <c r="A776" s="1">
        <v>0</v>
      </c>
      <c r="B776" s="1">
        <v>0</v>
      </c>
      <c r="C776" s="1">
        <v>0</v>
      </c>
      <c r="D776" s="1">
        <v>0</v>
      </c>
      <c r="E776" s="1">
        <f>E84</f>
        <v>0</v>
      </c>
      <c r="F776" s="1">
        <v>0</v>
      </c>
      <c r="G776" s="1">
        <v>0</v>
      </c>
      <c r="H776" s="1">
        <v>0</v>
      </c>
    </row>
    <row r="777" spans="1:8" ht="16.5" hidden="1" customHeight="1">
      <c r="A777" s="1">
        <v>0</v>
      </c>
      <c r="B777" s="1">
        <v>0</v>
      </c>
      <c r="C777" s="1">
        <v>0</v>
      </c>
      <c r="D777" s="1">
        <v>0</v>
      </c>
      <c r="E777" s="1">
        <v>0</v>
      </c>
      <c r="F777" s="1">
        <f>F85</f>
        <v>0</v>
      </c>
      <c r="G777" s="1">
        <v>0</v>
      </c>
      <c r="H777" s="1">
        <v>0</v>
      </c>
    </row>
    <row r="778" spans="1:8" ht="16.5" hidden="1" customHeight="1">
      <c r="A778" s="1">
        <v>0</v>
      </c>
      <c r="B778" s="1">
        <v>0</v>
      </c>
      <c r="C778" s="1">
        <v>0</v>
      </c>
      <c r="D778" s="1">
        <v>0</v>
      </c>
      <c r="E778" s="1">
        <v>0</v>
      </c>
      <c r="F778" s="1">
        <v>0</v>
      </c>
      <c r="G778" s="1">
        <f>G86</f>
        <v>0</v>
      </c>
      <c r="H778" s="1">
        <v>0</v>
      </c>
    </row>
    <row r="779" spans="1:8" ht="16.5" hidden="1" customHeight="1">
      <c r="A779" s="1">
        <v>0</v>
      </c>
      <c r="B779" s="1">
        <v>0</v>
      </c>
      <c r="C779" s="1">
        <v>0</v>
      </c>
      <c r="D779" s="1">
        <v>0</v>
      </c>
      <c r="E779" s="1">
        <v>0</v>
      </c>
      <c r="F779" s="1">
        <v>0</v>
      </c>
      <c r="G779" s="1">
        <v>0</v>
      </c>
      <c r="H779" s="1">
        <f>H87</f>
        <v>0</v>
      </c>
    </row>
    <row r="780" spans="1:8" ht="16.5" hidden="1" customHeight="1">
      <c r="A780" s="1" t="s">
        <v>41</v>
      </c>
    </row>
    <row r="781" spans="1:8" ht="16.5" hidden="1" customHeight="1">
      <c r="A781" s="1" t="e">
        <f>LN(MDETERM(A772:H779))-LN(MDETERM(A80:H87))</f>
        <v>#NUM!</v>
      </c>
    </row>
    <row r="782" spans="1:8" ht="16.5" hidden="1" customHeight="1">
      <c r="A782" s="1" t="s">
        <v>72</v>
      </c>
    </row>
    <row r="783" spans="1:8" ht="16.5" hidden="1" customHeight="1">
      <c r="A783" s="1" t="s">
        <v>35</v>
      </c>
      <c r="B783" s="1" t="s">
        <v>60</v>
      </c>
    </row>
    <row r="784" spans="1:8" ht="16.5" hidden="1" customHeight="1">
      <c r="A784" s="1">
        <v>0.88275096772003725</v>
      </c>
      <c r="B784" s="1">
        <v>0.22074397343027999</v>
      </c>
    </row>
    <row r="785" spans="1:9" ht="16.5" hidden="1" customHeight="1">
      <c r="A785" s="1">
        <v>0.89566472159396615</v>
      </c>
      <c r="B785" s="1">
        <v>0.19777793178197531</v>
      </c>
    </row>
    <row r="786" spans="1:9" ht="16.5" hidden="1" customHeight="1">
      <c r="A786" s="1">
        <v>0.84794877471999941</v>
      </c>
      <c r="B786" s="1">
        <v>0.28097707998139798</v>
      </c>
    </row>
    <row r="787" spans="1:9" ht="16.5" hidden="1" customHeight="1">
      <c r="A787" s="1">
        <v>0.58988116596366802</v>
      </c>
      <c r="B787" s="1">
        <v>0.65203607137820607</v>
      </c>
    </row>
    <row r="788" spans="1:9" ht="16.5" hidden="1" customHeight="1">
      <c r="A788" s="1">
        <v>0.57012517528600037</v>
      </c>
      <c r="B788" s="1">
        <v>0.67495334059008028</v>
      </c>
    </row>
    <row r="789" spans="1:9" ht="16.5" hidden="1" customHeight="1">
      <c r="A789" s="1">
        <v>0.56516802329372517</v>
      </c>
      <c r="B789" s="1">
        <v>0.68058117489809034</v>
      </c>
    </row>
    <row r="790" spans="1:9" ht="16.5" hidden="1" customHeight="1">
      <c r="A790" s="1">
        <v>0.54287100910302521</v>
      </c>
      <c r="B790" s="1">
        <v>0.70528781310693189</v>
      </c>
    </row>
    <row r="791" spans="1:9" ht="16.5" hidden="1" customHeight="1">
      <c r="A791" s="1">
        <v>0.63234900581594222</v>
      </c>
      <c r="B791" s="1">
        <v>0.60013028715393357</v>
      </c>
    </row>
    <row r="792" spans="1:9" ht="16.5" hidden="1" customHeight="1">
      <c r="A792" s="1">
        <v>0.48694391642664669</v>
      </c>
      <c r="B792" s="1">
        <v>0.7628828926405341</v>
      </c>
    </row>
    <row r="793" spans="1:9" ht="16.5" hidden="1" customHeight="1">
      <c r="A793" s="1" t="s">
        <v>48</v>
      </c>
    </row>
    <row r="794" spans="1:9" ht="16.5" hidden="1" customHeight="1">
      <c r="A794" s="1">
        <f t="array" ref="A794:I794">TRANSPOSE(A784:A792)</f>
        <v>0.88275096772003725</v>
      </c>
      <c r="B794" s="1">
        <v>0.89566472159396615</v>
      </c>
      <c r="C794" s="1">
        <v>0.84794877471999941</v>
      </c>
      <c r="D794" s="1">
        <v>0.58988116596366802</v>
      </c>
      <c r="E794" s="1">
        <v>0.57012517528600037</v>
      </c>
      <c r="F794" s="1">
        <v>0.56516802329372517</v>
      </c>
      <c r="G794" s="1">
        <v>0.54287100910302521</v>
      </c>
      <c r="H794" s="1">
        <v>0.63234900581594222</v>
      </c>
      <c r="I794" s="1">
        <v>0.48694391642664669</v>
      </c>
    </row>
    <row r="795" spans="1:9" ht="16.5" hidden="1" customHeight="1">
      <c r="A795" s="1" t="s">
        <v>69</v>
      </c>
    </row>
    <row r="796" spans="1:9" ht="16.5" hidden="1" customHeight="1">
      <c r="A796" s="1">
        <f>$A784*A$794+B784</f>
        <v>0.99999324444094218</v>
      </c>
      <c r="B796" s="1">
        <f t="shared" ref="B796:I796" si="49">$A784*B$794</f>
        <v>0.79064889973977137</v>
      </c>
      <c r="C796" s="1">
        <f t="shared" si="49"/>
        <v>0.74852760146109931</v>
      </c>
      <c r="D796" s="1">
        <f t="shared" si="49"/>
        <v>0.52071817009425181</v>
      </c>
      <c r="E796" s="1">
        <f t="shared" si="49"/>
        <v>0.50327855020527268</v>
      </c>
      <c r="F796" s="1">
        <f t="shared" si="49"/>
        <v>0.49890261948695647</v>
      </c>
      <c r="G796" s="1">
        <f t="shared" si="49"/>
        <v>0.47921990863284863</v>
      </c>
      <c r="H796" s="1">
        <f t="shared" si="49"/>
        <v>0.55820669682082646</v>
      </c>
      <c r="I796" s="1">
        <f t="shared" si="49"/>
        <v>0.42985021345100732</v>
      </c>
    </row>
    <row r="797" spans="1:9" ht="16.5" hidden="1" customHeight="1">
      <c r="A797" s="1">
        <f t="shared" ref="A797:I804" si="50">$A785*A$794</f>
        <v>0.79064889973977137</v>
      </c>
      <c r="B797" s="1">
        <f>$A785*B$794+B785</f>
        <v>0.99999322528997225</v>
      </c>
      <c r="C797" s="1">
        <f t="shared" si="50"/>
        <v>0.75947780323553304</v>
      </c>
      <c r="D797" s="1">
        <f t="shared" si="50"/>
        <v>0.52833575028637281</v>
      </c>
      <c r="E797" s="1">
        <f t="shared" si="50"/>
        <v>0.51064100639624666</v>
      </c>
      <c r="F797" s="1">
        <f t="shared" si="50"/>
        <v>0.50620106023718658</v>
      </c>
      <c r="G797" s="1">
        <f t="shared" si="50"/>
        <v>0.48623041122969657</v>
      </c>
      <c r="H797" s="1">
        <f t="shared" si="50"/>
        <v>0.56637269624435715</v>
      </c>
      <c r="I797" s="1">
        <f t="shared" si="50"/>
        <v>0.43613848733814803</v>
      </c>
    </row>
    <row r="798" spans="1:9" ht="16.5" hidden="1" customHeight="1">
      <c r="A798" s="1">
        <f t="shared" si="50"/>
        <v>0.74852760146109931</v>
      </c>
      <c r="B798" s="1">
        <f t="shared" si="50"/>
        <v>0.75947780323553304</v>
      </c>
      <c r="C798" s="1">
        <f>$A786*C$794+B786</f>
        <v>0.99999420453054633</v>
      </c>
      <c r="D798" s="1">
        <f t="shared" si="50"/>
        <v>0.50018901190929688</v>
      </c>
      <c r="E798" s="1">
        <f t="shared" si="50"/>
        <v>0.48343694382078889</v>
      </c>
      <c r="F798" s="1">
        <f t="shared" si="50"/>
        <v>0.47923353286283837</v>
      </c>
      <c r="G798" s="1">
        <f t="shared" si="50"/>
        <v>0.4603268069999199</v>
      </c>
      <c r="H798" s="1">
        <f t="shared" si="50"/>
        <v>0.536199564677038</v>
      </c>
      <c r="I798" s="1">
        <f t="shared" si="50"/>
        <v>0.41290349729133285</v>
      </c>
    </row>
    <row r="799" spans="1:9" ht="16.5" hidden="1" customHeight="1">
      <c r="A799" s="1">
        <f t="shared" si="50"/>
        <v>0.52071817009425181</v>
      </c>
      <c r="B799" s="1">
        <f t="shared" si="50"/>
        <v>0.52833575028637281</v>
      </c>
      <c r="C799" s="1">
        <f t="shared" si="50"/>
        <v>0.50018901190929688</v>
      </c>
      <c r="D799" s="1">
        <f>$A787*D$794+B787</f>
        <v>0.99999586133686247</v>
      </c>
      <c r="E799" s="1">
        <f t="shared" si="50"/>
        <v>0.33630610314294651</v>
      </c>
      <c r="F799" s="1">
        <f t="shared" si="50"/>
        <v>0.33338197254588409</v>
      </c>
      <c r="G799" s="1">
        <f t="shared" si="50"/>
        <v>0.32022938381756555</v>
      </c>
      <c r="H799" s="1">
        <f t="shared" si="50"/>
        <v>0.37301076884667428</v>
      </c>
      <c r="I799" s="1">
        <f t="shared" si="50"/>
        <v>0.28723904518066529</v>
      </c>
    </row>
    <row r="800" spans="1:9" ht="16.5" hidden="1" customHeight="1">
      <c r="A800" s="1">
        <f t="shared" si="50"/>
        <v>0.50327855020527268</v>
      </c>
      <c r="B800" s="1">
        <f t="shared" si="50"/>
        <v>0.51064100639624666</v>
      </c>
      <c r="C800" s="1">
        <f t="shared" si="50"/>
        <v>0.48343694382078889</v>
      </c>
      <c r="D800" s="1">
        <f t="shared" si="50"/>
        <v>0.33630610314294651</v>
      </c>
      <c r="E800" s="1">
        <f>$A788*E$794+B788</f>
        <v>0.999996056084973</v>
      </c>
      <c r="F800" s="1">
        <f t="shared" si="50"/>
        <v>0.32221651834637743</v>
      </c>
      <c r="G800" s="1">
        <f t="shared" si="50"/>
        <v>0.30950442922255017</v>
      </c>
      <c r="H800" s="1">
        <f t="shared" si="50"/>
        <v>0.36051808778274214</v>
      </c>
      <c r="I800" s="1">
        <f t="shared" si="50"/>
        <v>0.27761898570719346</v>
      </c>
    </row>
    <row r="801" spans="1:9" ht="16.5" hidden="1" customHeight="1">
      <c r="A801" s="1">
        <f t="shared" si="50"/>
        <v>0.49890261948695647</v>
      </c>
      <c r="B801" s="1">
        <f t="shared" si="50"/>
        <v>0.50620106023718658</v>
      </c>
      <c r="C801" s="1">
        <f t="shared" si="50"/>
        <v>0.47923353286283837</v>
      </c>
      <c r="D801" s="1">
        <f t="shared" si="50"/>
        <v>0.33338197254588409</v>
      </c>
      <c r="E801" s="1">
        <f t="shared" si="50"/>
        <v>0.32221651834637743</v>
      </c>
      <c r="F801" s="1">
        <f>$A789*F$794+B789</f>
        <v>0.99999606945182706</v>
      </c>
      <c r="G801" s="1">
        <f t="shared" si="50"/>
        <v>0.30681333511822667</v>
      </c>
      <c r="H801" s="1">
        <f t="shared" si="50"/>
        <v>0.35738343764874841</v>
      </c>
      <c r="I801" s="1">
        <f t="shared" si="50"/>
        <v>0.27520513070175284</v>
      </c>
    </row>
    <row r="802" spans="1:9" ht="16.5" hidden="1" customHeight="1">
      <c r="A802" s="1">
        <f t="shared" si="50"/>
        <v>0.47921990863284863</v>
      </c>
      <c r="B802" s="1">
        <f t="shared" si="50"/>
        <v>0.48623041122969657</v>
      </c>
      <c r="C802" s="1">
        <f t="shared" si="50"/>
        <v>0.4603268069999199</v>
      </c>
      <c r="D802" s="1">
        <f t="shared" si="50"/>
        <v>0.32022938381756555</v>
      </c>
      <c r="E802" s="1">
        <f t="shared" si="50"/>
        <v>0.30950442922255017</v>
      </c>
      <c r="F802" s="1">
        <f t="shared" si="50"/>
        <v>0.30681333511822667</v>
      </c>
      <c r="G802" s="1">
        <f>$A790*G$794+B790</f>
        <v>0.99999674563146879</v>
      </c>
      <c r="H802" s="1">
        <f t="shared" si="50"/>
        <v>0.34328394289259534</v>
      </c>
      <c r="I802" s="1">
        <f t="shared" si="50"/>
        <v>0.26434773528711286</v>
      </c>
    </row>
    <row r="803" spans="1:9" ht="16.5" hidden="1" customHeight="1">
      <c r="A803" s="1">
        <f t="shared" si="50"/>
        <v>0.55820669682082646</v>
      </c>
      <c r="B803" s="1">
        <f t="shared" si="50"/>
        <v>0.56637269624435715</v>
      </c>
      <c r="C803" s="1">
        <f t="shared" si="50"/>
        <v>0.536199564677038</v>
      </c>
      <c r="D803" s="1">
        <f t="shared" si="50"/>
        <v>0.37301076884667428</v>
      </c>
      <c r="E803" s="1">
        <f t="shared" si="50"/>
        <v>0.36051808778274214</v>
      </c>
      <c r="F803" s="1">
        <f t="shared" si="50"/>
        <v>0.35738343764874841</v>
      </c>
      <c r="G803" s="1">
        <f t="shared" si="50"/>
        <v>0.34328394289259534</v>
      </c>
      <c r="H803" s="1">
        <f>$A791*H$794+B791</f>
        <v>0.99999555231034409</v>
      </c>
      <c r="I803" s="1">
        <f t="shared" si="50"/>
        <v>0.30791850144051131</v>
      </c>
    </row>
    <row r="804" spans="1:9" ht="16.5" hidden="1" customHeight="1">
      <c r="A804" s="1">
        <f t="shared" si="50"/>
        <v>0.42985021345100732</v>
      </c>
      <c r="B804" s="1">
        <f t="shared" si="50"/>
        <v>0.43613848733814803</v>
      </c>
      <c r="C804" s="1">
        <f t="shared" si="50"/>
        <v>0.41290349729133285</v>
      </c>
      <c r="D804" s="1">
        <f t="shared" si="50"/>
        <v>0.28723904518066529</v>
      </c>
      <c r="E804" s="1">
        <f t="shared" si="50"/>
        <v>0.27761898570719346</v>
      </c>
      <c r="F804" s="1">
        <f t="shared" si="50"/>
        <v>0.27520513070175284</v>
      </c>
      <c r="G804" s="1">
        <f t="shared" si="50"/>
        <v>0.26434773528711286</v>
      </c>
      <c r="H804" s="1">
        <f t="shared" si="50"/>
        <v>0.30791850144051131</v>
      </c>
      <c r="I804" s="1">
        <f>$A792*I$794+B792</f>
        <v>0.99999727038545516</v>
      </c>
    </row>
    <row r="805" spans="1:9" ht="16.5" hidden="1" customHeight="1">
      <c r="A805" s="1" t="s">
        <v>61</v>
      </c>
    </row>
    <row r="806" spans="1:9" ht="16.5" hidden="1" customHeight="1">
      <c r="A806" s="1">
        <f t="array" ref="A806:I814">MINVERSE(A796:I804)</f>
        <v>3.3898764747387613</v>
      </c>
      <c r="B806" s="1">
        <v>-1.2912835507035785</v>
      </c>
      <c r="C806" s="1">
        <v>-0.86050362321430451</v>
      </c>
      <c r="D806" s="1">
        <v>-0.25795674554451342</v>
      </c>
      <c r="E806" s="1">
        <v>-0.24085210636711887</v>
      </c>
      <c r="F806" s="1">
        <v>-0.23678360636166751</v>
      </c>
      <c r="G806" s="1">
        <v>-0.2194745924577727</v>
      </c>
      <c r="H806" s="1">
        <v>-0.30044520424967713</v>
      </c>
      <c r="I806" s="1">
        <v>-0.18200153442068234</v>
      </c>
    </row>
    <row r="807" spans="1:9" ht="16.5" hidden="1" customHeight="1">
      <c r="A807" s="1">
        <v>-1.291283550703578</v>
      </c>
      <c r="B807" s="1">
        <v>3.5938642905040576</v>
      </c>
      <c r="C807" s="1">
        <v>-0.97447565591017704</v>
      </c>
      <c r="D807" s="1">
        <v>-0.29212261520988447</v>
      </c>
      <c r="E807" s="1">
        <v>-0.27275249981253524</v>
      </c>
      <c r="F807" s="1">
        <v>-0.26814513488759384</v>
      </c>
      <c r="G807" s="1">
        <v>-0.24854357572837649</v>
      </c>
      <c r="H807" s="1">
        <v>-0.34023858770360571</v>
      </c>
      <c r="I807" s="1">
        <v>-0.20610728397489042</v>
      </c>
    </row>
    <row r="808" spans="1:9" ht="16.5" hidden="1" customHeight="1">
      <c r="A808" s="1">
        <v>-0.86050362321430418</v>
      </c>
      <c r="B808" s="1">
        <v>-0.97447565591017704</v>
      </c>
      <c r="C808" s="1">
        <v>2.9096244151547648</v>
      </c>
      <c r="D808" s="1">
        <v>-0.19466876091930344</v>
      </c>
      <c r="E808" s="1">
        <v>-0.18176063204829251</v>
      </c>
      <c r="F808" s="1">
        <v>-0.17869031166109139</v>
      </c>
      <c r="G808" s="1">
        <v>-0.16562795005355313</v>
      </c>
      <c r="H808" s="1">
        <v>-0.22673295676750996</v>
      </c>
      <c r="I808" s="1">
        <v>-0.13734865942853319</v>
      </c>
    </row>
    <row r="809" spans="1:9" ht="16.5" hidden="1" customHeight="1">
      <c r="A809" s="1">
        <v>-0.25795674554451387</v>
      </c>
      <c r="B809" s="1">
        <v>-0.29212261520988458</v>
      </c>
      <c r="C809" s="1">
        <v>-0.19466876091930327</v>
      </c>
      <c r="D809" s="1">
        <v>1.4753008198274757</v>
      </c>
      <c r="E809" s="1">
        <v>-5.4487139677754128E-2</v>
      </c>
      <c r="F809" s="1">
        <v>-5.3566736981594663E-2</v>
      </c>
      <c r="G809" s="1">
        <v>-4.9650978583251557E-2</v>
      </c>
      <c r="H809" s="1">
        <v>-6.7968680267678203E-2</v>
      </c>
      <c r="I809" s="1">
        <v>-4.1173578164310075E-2</v>
      </c>
    </row>
    <row r="810" spans="1:9" ht="16.5" hidden="1" customHeight="1">
      <c r="A810" s="1">
        <v>-0.24085210636711896</v>
      </c>
      <c r="B810" s="1">
        <v>-0.27275249981253508</v>
      </c>
      <c r="C810" s="1">
        <v>-0.18176063204829232</v>
      </c>
      <c r="D810" s="1">
        <v>-5.4487139677754232E-2</v>
      </c>
      <c r="E810" s="1">
        <v>1.4307096987697174</v>
      </c>
      <c r="F810" s="1">
        <v>-5.0014824795516791E-2</v>
      </c>
      <c r="G810" s="1">
        <v>-4.6358713162247038E-2</v>
      </c>
      <c r="H810" s="1">
        <v>-6.346180160905561E-2</v>
      </c>
      <c r="I810" s="1">
        <v>-3.844343363307795E-2</v>
      </c>
    </row>
    <row r="811" spans="1:9" ht="16.5" hidden="1" customHeight="1">
      <c r="A811" s="1">
        <v>-0.23678360636166784</v>
      </c>
      <c r="B811" s="1">
        <v>-0.26814513488759373</v>
      </c>
      <c r="C811" s="1">
        <v>-0.17869031166109128</v>
      </c>
      <c r="D811" s="1">
        <v>-5.356673698159465E-2</v>
      </c>
      <c r="E811" s="1">
        <v>-5.0014824795516812E-2</v>
      </c>
      <c r="F811" s="1">
        <v>1.4201624735228942</v>
      </c>
      <c r="G811" s="1">
        <v>-4.5575616731834932E-2</v>
      </c>
      <c r="H811" s="1">
        <v>-6.2389797946364491E-2</v>
      </c>
      <c r="I811" s="1">
        <v>-3.7794042966311989E-2</v>
      </c>
    </row>
    <row r="812" spans="1:9" ht="16.5" hidden="1" customHeight="1">
      <c r="A812" s="1">
        <v>-0.21947459245777282</v>
      </c>
      <c r="B812" s="1">
        <v>-0.24854357572837649</v>
      </c>
      <c r="C812" s="1">
        <v>-0.16562795005355316</v>
      </c>
      <c r="D812" s="1">
        <v>-4.9650978583251536E-2</v>
      </c>
      <c r="E812" s="1">
        <v>-4.635871316224701E-2</v>
      </c>
      <c r="F812" s="1">
        <v>-4.5575616731834918E-2</v>
      </c>
      <c r="G812" s="1">
        <v>1.3756168672406213</v>
      </c>
      <c r="H812" s="1">
        <v>-5.7829068862505065E-2</v>
      </c>
      <c r="I812" s="1">
        <v>-3.5031277311881104E-2</v>
      </c>
    </row>
    <row r="813" spans="1:9" ht="16.5" hidden="1" customHeight="1">
      <c r="A813" s="1">
        <v>-0.30044520424967741</v>
      </c>
      <c r="B813" s="1">
        <v>-0.34023858770360565</v>
      </c>
      <c r="C813" s="1">
        <v>-0.22673295676750985</v>
      </c>
      <c r="D813" s="1">
        <v>-6.7968680267678189E-2</v>
      </c>
      <c r="E813" s="1">
        <v>-6.3461801609055485E-2</v>
      </c>
      <c r="F813" s="1">
        <v>-6.2389797946364504E-2</v>
      </c>
      <c r="G813" s="1">
        <v>-5.7829068862504981E-2</v>
      </c>
      <c r="H813" s="1">
        <v>1.5871409286563389</v>
      </c>
      <c r="I813" s="1">
        <v>-4.7955342571692997E-2</v>
      </c>
    </row>
    <row r="814" spans="1:9" ht="16.5" hidden="1" customHeight="1">
      <c r="A814" s="1">
        <v>-0.18200153442068251</v>
      </c>
      <c r="B814" s="1">
        <v>-0.20610728397489028</v>
      </c>
      <c r="C814" s="1">
        <v>-0.13734865942853314</v>
      </c>
      <c r="D814" s="1">
        <v>-4.117357816431011E-2</v>
      </c>
      <c r="E814" s="1">
        <v>-3.8443433633077957E-2</v>
      </c>
      <c r="F814" s="1">
        <v>-3.7794042966311975E-2</v>
      </c>
      <c r="G814" s="1">
        <v>-3.5031277311881132E-2</v>
      </c>
      <c r="H814" s="1">
        <v>-4.7955342571692997E-2</v>
      </c>
      <c r="I814" s="1">
        <v>1.2817671349454052</v>
      </c>
    </row>
    <row r="815" spans="1:9" ht="16.5" hidden="1" customHeight="1">
      <c r="A815" s="1" t="s">
        <v>54</v>
      </c>
    </row>
    <row r="816" spans="1:9" ht="16.5" hidden="1" customHeight="1">
      <c r="A816" s="1" t="e">
        <f t="array" ref="A816:I824">MMULT(A80:I88,A806:I814)</f>
        <v>#VALUE!</v>
      </c>
      <c r="B816" s="1" t="e">
        <v>#VALUE!</v>
      </c>
      <c r="C816" s="1" t="e">
        <v>#VALUE!</v>
      </c>
      <c r="D816" s="1" t="e">
        <v>#VALUE!</v>
      </c>
      <c r="E816" s="1" t="e">
        <v>#VALUE!</v>
      </c>
      <c r="F816" s="1" t="e">
        <v>#VALUE!</v>
      </c>
      <c r="G816" s="1" t="e">
        <v>#VALUE!</v>
      </c>
      <c r="H816" s="1" t="e">
        <v>#VALUE!</v>
      </c>
      <c r="I816" s="1" t="e">
        <v>#VALUE!</v>
      </c>
    </row>
    <row r="817" spans="1:9" ht="16.5" hidden="1" customHeight="1">
      <c r="A817" s="1" t="e">
        <v>#VALUE!</v>
      </c>
      <c r="B817" s="1" t="e">
        <v>#VALUE!</v>
      </c>
      <c r="C817" s="1" t="e">
        <v>#VALUE!</v>
      </c>
      <c r="D817" s="1" t="e">
        <v>#VALUE!</v>
      </c>
      <c r="E817" s="1" t="e">
        <v>#VALUE!</v>
      </c>
      <c r="F817" s="1" t="e">
        <v>#VALUE!</v>
      </c>
      <c r="G817" s="1" t="e">
        <v>#VALUE!</v>
      </c>
      <c r="H817" s="1" t="e">
        <v>#VALUE!</v>
      </c>
      <c r="I817" s="1" t="e">
        <v>#VALUE!</v>
      </c>
    </row>
    <row r="818" spans="1:9" ht="16.5" hidden="1" customHeight="1">
      <c r="A818" s="1" t="e">
        <v>#VALUE!</v>
      </c>
      <c r="B818" s="1" t="e">
        <v>#VALUE!</v>
      </c>
      <c r="C818" s="1" t="e">
        <v>#VALUE!</v>
      </c>
      <c r="D818" s="1" t="e">
        <v>#VALUE!</v>
      </c>
      <c r="E818" s="1" t="e">
        <v>#VALUE!</v>
      </c>
      <c r="F818" s="1" t="e">
        <v>#VALUE!</v>
      </c>
      <c r="G818" s="1" t="e">
        <v>#VALUE!</v>
      </c>
      <c r="H818" s="1" t="e">
        <v>#VALUE!</v>
      </c>
      <c r="I818" s="1" t="e">
        <v>#VALUE!</v>
      </c>
    </row>
    <row r="819" spans="1:9" ht="16.5" hidden="1" customHeight="1">
      <c r="A819" s="1" t="e">
        <v>#VALUE!</v>
      </c>
      <c r="B819" s="1" t="e">
        <v>#VALUE!</v>
      </c>
      <c r="C819" s="1" t="e">
        <v>#VALUE!</v>
      </c>
      <c r="D819" s="1" t="e">
        <v>#VALUE!</v>
      </c>
      <c r="E819" s="1" t="e">
        <v>#VALUE!</v>
      </c>
      <c r="F819" s="1" t="e">
        <v>#VALUE!</v>
      </c>
      <c r="G819" s="1" t="e">
        <v>#VALUE!</v>
      </c>
      <c r="H819" s="1" t="e">
        <v>#VALUE!</v>
      </c>
      <c r="I819" s="1" t="e">
        <v>#VALUE!</v>
      </c>
    </row>
    <row r="820" spans="1:9" ht="16.5" hidden="1" customHeight="1">
      <c r="A820" s="1" t="e">
        <v>#VALUE!</v>
      </c>
      <c r="B820" s="1" t="e">
        <v>#VALUE!</v>
      </c>
      <c r="C820" s="1" t="e">
        <v>#VALUE!</v>
      </c>
      <c r="D820" s="1" t="e">
        <v>#VALUE!</v>
      </c>
      <c r="E820" s="1" t="e">
        <v>#VALUE!</v>
      </c>
      <c r="F820" s="1" t="e">
        <v>#VALUE!</v>
      </c>
      <c r="G820" s="1" t="e">
        <v>#VALUE!</v>
      </c>
      <c r="H820" s="1" t="e">
        <v>#VALUE!</v>
      </c>
      <c r="I820" s="1" t="e">
        <v>#VALUE!</v>
      </c>
    </row>
    <row r="821" spans="1:9" ht="16.5" hidden="1" customHeight="1">
      <c r="A821" s="1" t="e">
        <v>#VALUE!</v>
      </c>
      <c r="B821" s="1" t="e">
        <v>#VALUE!</v>
      </c>
      <c r="C821" s="1" t="e">
        <v>#VALUE!</v>
      </c>
      <c r="D821" s="1" t="e">
        <v>#VALUE!</v>
      </c>
      <c r="E821" s="1" t="e">
        <v>#VALUE!</v>
      </c>
      <c r="F821" s="1" t="e">
        <v>#VALUE!</v>
      </c>
      <c r="G821" s="1" t="e">
        <v>#VALUE!</v>
      </c>
      <c r="H821" s="1" t="e">
        <v>#VALUE!</v>
      </c>
      <c r="I821" s="1" t="e">
        <v>#VALUE!</v>
      </c>
    </row>
    <row r="822" spans="1:9" ht="16.5" hidden="1" customHeight="1">
      <c r="A822" s="1" t="e">
        <v>#VALUE!</v>
      </c>
      <c r="B822" s="1" t="e">
        <v>#VALUE!</v>
      </c>
      <c r="C822" s="1" t="e">
        <v>#VALUE!</v>
      </c>
      <c r="D822" s="1" t="e">
        <v>#VALUE!</v>
      </c>
      <c r="E822" s="1" t="e">
        <v>#VALUE!</v>
      </c>
      <c r="F822" s="1" t="e">
        <v>#VALUE!</v>
      </c>
      <c r="G822" s="1" t="e">
        <v>#VALUE!</v>
      </c>
      <c r="H822" s="1" t="e">
        <v>#VALUE!</v>
      </c>
      <c r="I822" s="1" t="e">
        <v>#VALUE!</v>
      </c>
    </row>
    <row r="823" spans="1:9" ht="16.5" hidden="1" customHeight="1">
      <c r="A823" s="1" t="e">
        <v>#VALUE!</v>
      </c>
      <c r="B823" s="1" t="e">
        <v>#VALUE!</v>
      </c>
      <c r="C823" s="1" t="e">
        <v>#VALUE!</v>
      </c>
      <c r="D823" s="1" t="e">
        <v>#VALUE!</v>
      </c>
      <c r="E823" s="1" t="e">
        <v>#VALUE!</v>
      </c>
      <c r="F823" s="1" t="e">
        <v>#VALUE!</v>
      </c>
      <c r="G823" s="1" t="e">
        <v>#VALUE!</v>
      </c>
      <c r="H823" s="1" t="e">
        <v>#VALUE!</v>
      </c>
      <c r="I823" s="1" t="e">
        <v>#VALUE!</v>
      </c>
    </row>
    <row r="824" spans="1:9" ht="16.5" hidden="1" customHeight="1">
      <c r="A824" s="1" t="e">
        <v>#VALUE!</v>
      </c>
      <c r="B824" s="1" t="e">
        <v>#VALUE!</v>
      </c>
      <c r="C824" s="1" t="e">
        <v>#VALUE!</v>
      </c>
      <c r="D824" s="1" t="e">
        <v>#VALUE!</v>
      </c>
      <c r="E824" s="1" t="e">
        <v>#VALUE!</v>
      </c>
      <c r="F824" s="1" t="e">
        <v>#VALUE!</v>
      </c>
      <c r="G824" s="1" t="e">
        <v>#VALUE!</v>
      </c>
      <c r="H824" s="1" t="e">
        <v>#VALUE!</v>
      </c>
      <c r="I824" s="1" t="e">
        <v>#VALUE!</v>
      </c>
    </row>
    <row r="825" spans="1:9" ht="16.5" hidden="1" customHeight="1">
      <c r="A825" s="1" t="s">
        <v>41</v>
      </c>
    </row>
    <row r="826" spans="1:9" ht="16.5" hidden="1" customHeight="1">
      <c r="A826" s="1" t="e">
        <f>LN(MDETERM(A796:I804))+SUM(A816,B817,C818,D819,E820,F821,G822,H823,I824)-LN(MDETERM(A80:I88))-9</f>
        <v>#VALUE!</v>
      </c>
    </row>
    <row r="827" spans="1:9" ht="16.5" hidden="1" customHeight="1">
      <c r="A827" s="1" t="e">
        <f>MIN($A$826)</f>
        <v>#VALUE!</v>
      </c>
    </row>
    <row r="828" spans="1:9" ht="16.5" hidden="1" customHeight="1">
      <c r="A828" s="1">
        <f>COUNT($A$784,$A$785,$A$786,$A$787,$A$788,$A$789,$A$790,$A$791,$A$792,$B$784,$B$785,$B$786,$B$787,$B$788,$B$789,$B$790,$B$791,$B$792)</f>
        <v>18</v>
      </c>
    </row>
    <row r="829" spans="1:9" ht="16.5" hidden="1" customHeight="1">
      <c r="A829" s="1">
        <f>{32767,32767,0.000001,0.01,FALSE,FALSE,TRUE,1,1,1,0.0001,TRUE}</f>
        <v>32767</v>
      </c>
    </row>
    <row r="830" spans="1:9" ht="16.5" hidden="1" customHeight="1">
      <c r="A830" s="1">
        <f>{0,0,1,100,0,FALSE,TRUE,0.075,0,0,FALSE,30}</f>
        <v>0</v>
      </c>
    </row>
    <row r="831" spans="1:9" ht="16.5" hidden="1" customHeight="1">
      <c r="A831" s="1" t="s">
        <v>72</v>
      </c>
    </row>
    <row r="832" spans="1:9" ht="16.5" hidden="1" customHeight="1">
      <c r="A832" s="1" t="s">
        <v>63</v>
      </c>
      <c r="B832" s="1" t="s">
        <v>52</v>
      </c>
      <c r="C832" s="1" t="s">
        <v>53</v>
      </c>
      <c r="D832" s="1">
        <v>0.7168053365454653</v>
      </c>
    </row>
    <row r="833" spans="1:9" ht="16.5" hidden="1" customHeight="1">
      <c r="B833" s="1">
        <v>0.34362719563652255</v>
      </c>
    </row>
    <row r="834" spans="1:9" ht="16.5" hidden="1" customHeight="1">
      <c r="B834" s="1">
        <v>0.32485583832480375</v>
      </c>
    </row>
    <row r="835" spans="1:9" ht="16.5" hidden="1" customHeight="1">
      <c r="B835" s="1">
        <v>0.3726735222289303</v>
      </c>
    </row>
    <row r="836" spans="1:9" ht="16.5" hidden="1" customHeight="1">
      <c r="B836" s="1">
        <v>0.56392464863599645</v>
      </c>
    </row>
    <row r="837" spans="1:9" ht="16.5" hidden="1" customHeight="1">
      <c r="B837" s="1">
        <v>0.58414181092796091</v>
      </c>
    </row>
    <row r="838" spans="1:9" ht="16.5" hidden="1" customHeight="1">
      <c r="B838" s="1">
        <v>0.63036078175469901</v>
      </c>
    </row>
    <row r="839" spans="1:9" ht="16.5" hidden="1" customHeight="1">
      <c r="B839" s="1">
        <v>0.64079407989655623</v>
      </c>
    </row>
    <row r="840" spans="1:9" ht="16.5" hidden="1" customHeight="1">
      <c r="B840" s="1">
        <v>0.56529495383517148</v>
      </c>
    </row>
    <row r="841" spans="1:9" ht="16.5" hidden="1" customHeight="1">
      <c r="B841" s="1">
        <v>0.6951999789816774</v>
      </c>
    </row>
    <row r="842" spans="1:9" ht="16.5" hidden="1" customHeight="1">
      <c r="A842" s="1" t="s">
        <v>69</v>
      </c>
    </row>
    <row r="843" spans="1:9" ht="16.5" hidden="1" customHeight="1">
      <c r="A843" s="1">
        <f>$D$832^2+B833</f>
        <v>0.85743708613658032</v>
      </c>
      <c r="B843" s="1">
        <f t="shared" ref="B843:I843" si="51">$D$832^2</f>
        <v>0.51380989050005776</v>
      </c>
      <c r="C843" s="1">
        <f t="shared" si="51"/>
        <v>0.51380989050005776</v>
      </c>
      <c r="D843" s="1">
        <f t="shared" si="51"/>
        <v>0.51380989050005776</v>
      </c>
      <c r="E843" s="1">
        <f t="shared" si="51"/>
        <v>0.51380989050005776</v>
      </c>
      <c r="F843" s="1">
        <f t="shared" si="51"/>
        <v>0.51380989050005776</v>
      </c>
      <c r="G843" s="1">
        <f t="shared" si="51"/>
        <v>0.51380989050005776</v>
      </c>
      <c r="H843" s="1">
        <f t="shared" si="51"/>
        <v>0.51380989050005776</v>
      </c>
      <c r="I843" s="1">
        <f t="shared" si="51"/>
        <v>0.51380989050005776</v>
      </c>
    </row>
    <row r="844" spans="1:9" ht="16.5" hidden="1" customHeight="1">
      <c r="A844" s="1">
        <f t="shared" ref="A844:I851" si="52">$D$832^2</f>
        <v>0.51380989050005776</v>
      </c>
      <c r="B844" s="1">
        <f>$D$832^2+B834</f>
        <v>0.83866572882486157</v>
      </c>
      <c r="C844" s="1">
        <f t="shared" si="52"/>
        <v>0.51380989050005776</v>
      </c>
      <c r="D844" s="1">
        <f t="shared" si="52"/>
        <v>0.51380989050005776</v>
      </c>
      <c r="E844" s="1">
        <f t="shared" si="52"/>
        <v>0.51380989050005776</v>
      </c>
      <c r="F844" s="1">
        <f t="shared" si="52"/>
        <v>0.51380989050005776</v>
      </c>
      <c r="G844" s="1">
        <f t="shared" si="52"/>
        <v>0.51380989050005776</v>
      </c>
      <c r="H844" s="1">
        <f t="shared" si="52"/>
        <v>0.51380989050005776</v>
      </c>
      <c r="I844" s="1">
        <f t="shared" si="52"/>
        <v>0.51380989050005776</v>
      </c>
    </row>
    <row r="845" spans="1:9" ht="16.5" hidden="1" customHeight="1">
      <c r="A845" s="1">
        <f t="shared" si="52"/>
        <v>0.51380989050005776</v>
      </c>
      <c r="B845" s="1">
        <f t="shared" si="52"/>
        <v>0.51380989050005776</v>
      </c>
      <c r="C845" s="1">
        <f>$D$832^2+B835</f>
        <v>0.88648341272898801</v>
      </c>
      <c r="D845" s="1">
        <f t="shared" si="52"/>
        <v>0.51380989050005776</v>
      </c>
      <c r="E845" s="1">
        <f t="shared" si="52"/>
        <v>0.51380989050005776</v>
      </c>
      <c r="F845" s="1">
        <f t="shared" si="52"/>
        <v>0.51380989050005776</v>
      </c>
      <c r="G845" s="1">
        <f t="shared" si="52"/>
        <v>0.51380989050005776</v>
      </c>
      <c r="H845" s="1">
        <f t="shared" si="52"/>
        <v>0.51380989050005776</v>
      </c>
      <c r="I845" s="1">
        <f t="shared" si="52"/>
        <v>0.51380989050005776</v>
      </c>
    </row>
    <row r="846" spans="1:9" ht="16.5" hidden="1" customHeight="1">
      <c r="A846" s="1">
        <f t="shared" si="52"/>
        <v>0.51380989050005776</v>
      </c>
      <c r="B846" s="1">
        <f t="shared" si="52"/>
        <v>0.51380989050005776</v>
      </c>
      <c r="C846" s="1">
        <f t="shared" si="52"/>
        <v>0.51380989050005776</v>
      </c>
      <c r="D846" s="1">
        <f>$D$832^2+B836</f>
        <v>1.0777345391360542</v>
      </c>
      <c r="E846" s="1">
        <f t="shared" si="52"/>
        <v>0.51380989050005776</v>
      </c>
      <c r="F846" s="1">
        <f t="shared" si="52"/>
        <v>0.51380989050005776</v>
      </c>
      <c r="G846" s="1">
        <f t="shared" si="52"/>
        <v>0.51380989050005776</v>
      </c>
      <c r="H846" s="1">
        <f t="shared" si="52"/>
        <v>0.51380989050005776</v>
      </c>
      <c r="I846" s="1">
        <f t="shared" si="52"/>
        <v>0.51380989050005776</v>
      </c>
    </row>
    <row r="847" spans="1:9" ht="16.5" hidden="1" customHeight="1">
      <c r="A847" s="1">
        <f t="shared" si="52"/>
        <v>0.51380989050005776</v>
      </c>
      <c r="B847" s="1">
        <f t="shared" si="52"/>
        <v>0.51380989050005776</v>
      </c>
      <c r="C847" s="1">
        <f t="shared" si="52"/>
        <v>0.51380989050005776</v>
      </c>
      <c r="D847" s="1">
        <f t="shared" si="52"/>
        <v>0.51380989050005776</v>
      </c>
      <c r="E847" s="1">
        <f>$D$832^2+B837</f>
        <v>1.0979517014280187</v>
      </c>
      <c r="F847" s="1">
        <f t="shared" si="52"/>
        <v>0.51380989050005776</v>
      </c>
      <c r="G847" s="1">
        <f t="shared" si="52"/>
        <v>0.51380989050005776</v>
      </c>
      <c r="H847" s="1">
        <f t="shared" si="52"/>
        <v>0.51380989050005776</v>
      </c>
      <c r="I847" s="1">
        <f t="shared" si="52"/>
        <v>0.51380989050005776</v>
      </c>
    </row>
    <row r="848" spans="1:9" ht="16.5" hidden="1" customHeight="1">
      <c r="A848" s="1">
        <f t="shared" si="52"/>
        <v>0.51380989050005776</v>
      </c>
      <c r="B848" s="1">
        <f t="shared" si="52"/>
        <v>0.51380989050005776</v>
      </c>
      <c r="C848" s="1">
        <f t="shared" si="52"/>
        <v>0.51380989050005776</v>
      </c>
      <c r="D848" s="1">
        <f t="shared" si="52"/>
        <v>0.51380989050005776</v>
      </c>
      <c r="E848" s="1">
        <f t="shared" si="52"/>
        <v>0.51380989050005776</v>
      </c>
      <c r="F848" s="1">
        <f>$D$832^2+B838</f>
        <v>1.1441706722547567</v>
      </c>
      <c r="G848" s="1">
        <f t="shared" si="52"/>
        <v>0.51380989050005776</v>
      </c>
      <c r="H848" s="1">
        <f t="shared" si="52"/>
        <v>0.51380989050005776</v>
      </c>
      <c r="I848" s="1">
        <f t="shared" si="52"/>
        <v>0.51380989050005776</v>
      </c>
    </row>
    <row r="849" spans="1:9" ht="16.5" hidden="1" customHeight="1">
      <c r="A849" s="1">
        <f t="shared" si="52"/>
        <v>0.51380989050005776</v>
      </c>
      <c r="B849" s="1">
        <f t="shared" si="52"/>
        <v>0.51380989050005776</v>
      </c>
      <c r="C849" s="1">
        <f t="shared" si="52"/>
        <v>0.51380989050005776</v>
      </c>
      <c r="D849" s="1">
        <f t="shared" si="52"/>
        <v>0.51380989050005776</v>
      </c>
      <c r="E849" s="1">
        <f t="shared" si="52"/>
        <v>0.51380989050005776</v>
      </c>
      <c r="F849" s="1">
        <f t="shared" si="52"/>
        <v>0.51380989050005776</v>
      </c>
      <c r="G849" s="1">
        <f>$D$832^2+B839</f>
        <v>1.154603970396614</v>
      </c>
      <c r="H849" s="1">
        <f t="shared" si="52"/>
        <v>0.51380989050005776</v>
      </c>
      <c r="I849" s="1">
        <f t="shared" si="52"/>
        <v>0.51380989050005776</v>
      </c>
    </row>
    <row r="850" spans="1:9" ht="16.5" hidden="1" customHeight="1">
      <c r="A850" s="1">
        <f t="shared" si="52"/>
        <v>0.51380989050005776</v>
      </c>
      <c r="B850" s="1">
        <f t="shared" si="52"/>
        <v>0.51380989050005776</v>
      </c>
      <c r="C850" s="1">
        <f t="shared" si="52"/>
        <v>0.51380989050005776</v>
      </c>
      <c r="D850" s="1">
        <f t="shared" si="52"/>
        <v>0.51380989050005776</v>
      </c>
      <c r="E850" s="1">
        <f t="shared" si="52"/>
        <v>0.51380989050005776</v>
      </c>
      <c r="F850" s="1">
        <f t="shared" si="52"/>
        <v>0.51380989050005776</v>
      </c>
      <c r="G850" s="1">
        <f t="shared" si="52"/>
        <v>0.51380989050005776</v>
      </c>
      <c r="H850" s="1">
        <f>$D$832^2+B840</f>
        <v>1.0791048443352294</v>
      </c>
      <c r="I850" s="1">
        <f t="shared" si="52"/>
        <v>0.51380989050005776</v>
      </c>
    </row>
    <row r="851" spans="1:9" ht="16.5" hidden="1" customHeight="1">
      <c r="A851" s="1">
        <f t="shared" si="52"/>
        <v>0.51380989050005776</v>
      </c>
      <c r="B851" s="1">
        <f t="shared" si="52"/>
        <v>0.51380989050005776</v>
      </c>
      <c r="C851" s="1">
        <f t="shared" si="52"/>
        <v>0.51380989050005776</v>
      </c>
      <c r="D851" s="1">
        <f t="shared" si="52"/>
        <v>0.51380989050005776</v>
      </c>
      <c r="E851" s="1">
        <f t="shared" si="52"/>
        <v>0.51380989050005776</v>
      </c>
      <c r="F851" s="1">
        <f t="shared" si="52"/>
        <v>0.51380989050005776</v>
      </c>
      <c r="G851" s="1">
        <f t="shared" si="52"/>
        <v>0.51380989050005776</v>
      </c>
      <c r="H851" s="1">
        <f t="shared" si="52"/>
        <v>0.51380989050005776</v>
      </c>
      <c r="I851" s="1">
        <f>$D$832^2+B841</f>
        <v>1.2090098694817351</v>
      </c>
    </row>
    <row r="852" spans="1:9" ht="16.5" hidden="1" customHeight="1">
      <c r="A852" s="1" t="s">
        <v>61</v>
      </c>
    </row>
    <row r="853" spans="1:9" ht="16.5" hidden="1" customHeight="1">
      <c r="A853" s="1">
        <f t="array" ref="A853:I861">MINVERSE(A843:I851)</f>
        <v>2.4961583636117579</v>
      </c>
      <c r="B853" s="1">
        <v>-0.43789301242359385</v>
      </c>
      <c r="C853" s="1">
        <v>-0.38170702548611979</v>
      </c>
      <c r="D853" s="1">
        <v>-0.25225373991279737</v>
      </c>
      <c r="E853" s="1">
        <v>-0.24352323183553715</v>
      </c>
      <c r="F853" s="1">
        <v>-0.22566775371313758</v>
      </c>
      <c r="G853" s="1">
        <v>-0.22199347046153131</v>
      </c>
      <c r="H853" s="1">
        <v>-0.25164226335711837</v>
      </c>
      <c r="I853" s="1">
        <v>-0.20462040556418021</v>
      </c>
    </row>
    <row r="854" spans="1:9" ht="16.5" hidden="1" customHeight="1">
      <c r="A854" s="1">
        <v>-0.43789301242359396</v>
      </c>
      <c r="B854" s="1">
        <v>2.6150924561887035</v>
      </c>
      <c r="C854" s="1">
        <v>-0.40376345211752118</v>
      </c>
      <c r="D854" s="1">
        <v>-0.26682988270135993</v>
      </c>
      <c r="E854" s="1">
        <v>-0.25759489396746066</v>
      </c>
      <c r="F854" s="1">
        <v>-0.23870766107797584</v>
      </c>
      <c r="G854" s="1">
        <v>-0.23482106431482541</v>
      </c>
      <c r="H854" s="1">
        <v>-0.26618307279605252</v>
      </c>
      <c r="I854" s="1">
        <v>-0.21644412024919579</v>
      </c>
    </row>
    <row r="855" spans="1:9" ht="16.5" hidden="1" customHeight="1">
      <c r="A855" s="1">
        <v>-0.38170702548611984</v>
      </c>
      <c r="B855" s="1">
        <v>-0.40376345211752107</v>
      </c>
      <c r="C855" s="1">
        <v>2.3313571623790543</v>
      </c>
      <c r="D855" s="1">
        <v>-0.23259298035617301</v>
      </c>
      <c r="E855" s="1">
        <v>-0.22454293164563416</v>
      </c>
      <c r="F855" s="1">
        <v>-0.20807911678362645</v>
      </c>
      <c r="G855" s="1">
        <v>-0.20469120866991797</v>
      </c>
      <c r="H855" s="1">
        <v>-0.23202916253308553</v>
      </c>
      <c r="I855" s="1">
        <v>-0.18867220754909003</v>
      </c>
    </row>
    <row r="856" spans="1:9" ht="16.5" hidden="1" customHeight="1">
      <c r="A856" s="1">
        <v>-0.25225373991279743</v>
      </c>
      <c r="B856" s="1">
        <v>-0.26682988270135993</v>
      </c>
      <c r="C856" s="1">
        <v>-0.23259298035617298</v>
      </c>
      <c r="D856" s="1">
        <v>1.6195758723688496</v>
      </c>
      <c r="E856" s="1">
        <v>-0.14839075651400224</v>
      </c>
      <c r="F856" s="1">
        <v>-0.13751053007100122</v>
      </c>
      <c r="G856" s="1">
        <v>-0.13527160745469494</v>
      </c>
      <c r="H856" s="1">
        <v>-0.15333808421069658</v>
      </c>
      <c r="I856" s="1">
        <v>-0.12468533926314163</v>
      </c>
    </row>
    <row r="857" spans="1:9" ht="16.5" hidden="1" customHeight="1">
      <c r="A857" s="1">
        <v>-0.24352323183553717</v>
      </c>
      <c r="B857" s="1">
        <v>-0.25759489396746066</v>
      </c>
      <c r="C857" s="1">
        <v>-0.22454293164563419</v>
      </c>
      <c r="D857" s="1">
        <v>-0.14839075651400224</v>
      </c>
      <c r="E857" s="1">
        <v>1.5686581197061693</v>
      </c>
      <c r="F857" s="1">
        <v>-0.1327512872787705</v>
      </c>
      <c r="G857" s="1">
        <v>-0.13058985382870128</v>
      </c>
      <c r="H857" s="1">
        <v>-0.14803104938450967</v>
      </c>
      <c r="I857" s="1">
        <v>-0.12036997663688639</v>
      </c>
    </row>
    <row r="858" spans="1:9" ht="16.5" hidden="1" customHeight="1">
      <c r="A858" s="1">
        <v>-0.22566775371313771</v>
      </c>
      <c r="B858" s="1">
        <v>-0.23870766107797586</v>
      </c>
      <c r="C858" s="1">
        <v>-0.20807911678362648</v>
      </c>
      <c r="D858" s="1">
        <v>-0.13751053007100125</v>
      </c>
      <c r="E858" s="1">
        <v>-0.13275128727877053</v>
      </c>
      <c r="F858" s="1">
        <v>1.4633753389260322</v>
      </c>
      <c r="G858" s="1">
        <v>-0.12101481550291045</v>
      </c>
      <c r="H858" s="1">
        <v>-0.13717719719226382</v>
      </c>
      <c r="I858" s="1">
        <v>-0.11154427459509865</v>
      </c>
    </row>
    <row r="859" spans="1:9" ht="16.5" hidden="1" customHeight="1">
      <c r="A859" s="1">
        <v>-0.22199347046153139</v>
      </c>
      <c r="B859" s="1">
        <v>-0.23482106431482536</v>
      </c>
      <c r="C859" s="1">
        <v>-0.20469120866991797</v>
      </c>
      <c r="D859" s="1">
        <v>-0.13527160745469494</v>
      </c>
      <c r="E859" s="1">
        <v>-0.13058985382870128</v>
      </c>
      <c r="F859" s="1">
        <v>-0.12101481550291043</v>
      </c>
      <c r="G859" s="1">
        <v>1.4415192575511953</v>
      </c>
      <c r="H859" s="1">
        <v>-0.13494370184411347</v>
      </c>
      <c r="I859" s="1">
        <v>-0.10972813004979362</v>
      </c>
    </row>
    <row r="860" spans="1:9" ht="16.5" hidden="1" customHeight="1">
      <c r="A860" s="1">
        <v>-0.25164226335711848</v>
      </c>
      <c r="B860" s="1">
        <v>-0.26618307279605241</v>
      </c>
      <c r="C860" s="1">
        <v>-0.2320291625330855</v>
      </c>
      <c r="D860" s="1">
        <v>-0.15333808421069658</v>
      </c>
      <c r="E860" s="1">
        <v>-0.1480310493845097</v>
      </c>
      <c r="F860" s="1">
        <v>-0.13717719719226382</v>
      </c>
      <c r="G860" s="1">
        <v>-0.1349437018441135</v>
      </c>
      <c r="H860" s="1">
        <v>1.61602163355828</v>
      </c>
      <c r="I860" s="1">
        <v>-0.12438309533279338</v>
      </c>
    </row>
    <row r="861" spans="1:9" ht="16.5" hidden="1" customHeight="1">
      <c r="A861" s="1">
        <v>-0.20462040556418018</v>
      </c>
      <c r="B861" s="1">
        <v>-0.21644412024919579</v>
      </c>
      <c r="C861" s="1">
        <v>-0.18867220754909009</v>
      </c>
      <c r="D861" s="1">
        <v>-0.12468533926314165</v>
      </c>
      <c r="E861" s="1">
        <v>-0.12036997663688639</v>
      </c>
      <c r="F861" s="1">
        <v>-0.11154427459509861</v>
      </c>
      <c r="G861" s="1">
        <v>-0.10972813004979362</v>
      </c>
      <c r="H861" s="1">
        <v>-0.12438309533279339</v>
      </c>
      <c r="I861" s="1">
        <v>1.3372941484085918</v>
      </c>
    </row>
    <row r="862" spans="1:9" ht="16.5" hidden="1" customHeight="1">
      <c r="A862" s="1" t="s">
        <v>54</v>
      </c>
    </row>
    <row r="863" spans="1:9" ht="16.5" hidden="1" customHeight="1">
      <c r="A863" s="1" t="e">
        <f t="array" ref="A863:I871">MMULT(A80:I88,A853:I861)</f>
        <v>#VALUE!</v>
      </c>
      <c r="B863" s="1" t="e">
        <v>#VALUE!</v>
      </c>
      <c r="C863" s="1" t="e">
        <v>#VALUE!</v>
      </c>
      <c r="D863" s="1" t="e">
        <v>#VALUE!</v>
      </c>
      <c r="E863" s="1" t="e">
        <v>#VALUE!</v>
      </c>
      <c r="F863" s="1" t="e">
        <v>#VALUE!</v>
      </c>
      <c r="G863" s="1" t="e">
        <v>#VALUE!</v>
      </c>
      <c r="H863" s="1" t="e">
        <v>#VALUE!</v>
      </c>
      <c r="I863" s="1" t="e">
        <v>#VALUE!</v>
      </c>
    </row>
    <row r="864" spans="1:9" ht="16.5" hidden="1" customHeight="1">
      <c r="A864" s="1" t="e">
        <v>#VALUE!</v>
      </c>
      <c r="B864" s="1" t="e">
        <v>#VALUE!</v>
      </c>
      <c r="C864" s="1" t="e">
        <v>#VALUE!</v>
      </c>
      <c r="D864" s="1" t="e">
        <v>#VALUE!</v>
      </c>
      <c r="E864" s="1" t="e">
        <v>#VALUE!</v>
      </c>
      <c r="F864" s="1" t="e">
        <v>#VALUE!</v>
      </c>
      <c r="G864" s="1" t="e">
        <v>#VALUE!</v>
      </c>
      <c r="H864" s="1" t="e">
        <v>#VALUE!</v>
      </c>
      <c r="I864" s="1" t="e">
        <v>#VALUE!</v>
      </c>
    </row>
    <row r="865" spans="1:9" ht="16.5" hidden="1" customHeight="1">
      <c r="A865" s="1" t="e">
        <v>#VALUE!</v>
      </c>
      <c r="B865" s="1" t="e">
        <v>#VALUE!</v>
      </c>
      <c r="C865" s="1" t="e">
        <v>#VALUE!</v>
      </c>
      <c r="D865" s="1" t="e">
        <v>#VALUE!</v>
      </c>
      <c r="E865" s="1" t="e">
        <v>#VALUE!</v>
      </c>
      <c r="F865" s="1" t="e">
        <v>#VALUE!</v>
      </c>
      <c r="G865" s="1" t="e">
        <v>#VALUE!</v>
      </c>
      <c r="H865" s="1" t="e">
        <v>#VALUE!</v>
      </c>
      <c r="I865" s="1" t="e">
        <v>#VALUE!</v>
      </c>
    </row>
    <row r="866" spans="1:9" ht="16.5" hidden="1" customHeight="1">
      <c r="A866" s="1" t="e">
        <v>#VALUE!</v>
      </c>
      <c r="B866" s="1" t="e">
        <v>#VALUE!</v>
      </c>
      <c r="C866" s="1" t="e">
        <v>#VALUE!</v>
      </c>
      <c r="D866" s="1" t="e">
        <v>#VALUE!</v>
      </c>
      <c r="E866" s="1" t="e">
        <v>#VALUE!</v>
      </c>
      <c r="F866" s="1" t="e">
        <v>#VALUE!</v>
      </c>
      <c r="G866" s="1" t="e">
        <v>#VALUE!</v>
      </c>
      <c r="H866" s="1" t="e">
        <v>#VALUE!</v>
      </c>
      <c r="I866" s="1" t="e">
        <v>#VALUE!</v>
      </c>
    </row>
    <row r="867" spans="1:9" ht="16.5" hidden="1" customHeight="1">
      <c r="A867" s="1" t="e">
        <v>#VALUE!</v>
      </c>
      <c r="B867" s="1" t="e">
        <v>#VALUE!</v>
      </c>
      <c r="C867" s="1" t="e">
        <v>#VALUE!</v>
      </c>
      <c r="D867" s="1" t="e">
        <v>#VALUE!</v>
      </c>
      <c r="E867" s="1" t="e">
        <v>#VALUE!</v>
      </c>
      <c r="F867" s="1" t="e">
        <v>#VALUE!</v>
      </c>
      <c r="G867" s="1" t="e">
        <v>#VALUE!</v>
      </c>
      <c r="H867" s="1" t="e">
        <v>#VALUE!</v>
      </c>
      <c r="I867" s="1" t="e">
        <v>#VALUE!</v>
      </c>
    </row>
    <row r="868" spans="1:9" ht="16.5" hidden="1" customHeight="1">
      <c r="A868" s="1" t="e">
        <v>#VALUE!</v>
      </c>
      <c r="B868" s="1" t="e">
        <v>#VALUE!</v>
      </c>
      <c r="C868" s="1" t="e">
        <v>#VALUE!</v>
      </c>
      <c r="D868" s="1" t="e">
        <v>#VALUE!</v>
      </c>
      <c r="E868" s="1" t="e">
        <v>#VALUE!</v>
      </c>
      <c r="F868" s="1" t="e">
        <v>#VALUE!</v>
      </c>
      <c r="G868" s="1" t="e">
        <v>#VALUE!</v>
      </c>
      <c r="H868" s="1" t="e">
        <v>#VALUE!</v>
      </c>
      <c r="I868" s="1" t="e">
        <v>#VALUE!</v>
      </c>
    </row>
    <row r="869" spans="1:9" ht="16.5" hidden="1" customHeight="1">
      <c r="A869" s="1" t="e">
        <v>#VALUE!</v>
      </c>
      <c r="B869" s="1" t="e">
        <v>#VALUE!</v>
      </c>
      <c r="C869" s="1" t="e">
        <v>#VALUE!</v>
      </c>
      <c r="D869" s="1" t="e">
        <v>#VALUE!</v>
      </c>
      <c r="E869" s="1" t="e">
        <v>#VALUE!</v>
      </c>
      <c r="F869" s="1" t="e">
        <v>#VALUE!</v>
      </c>
      <c r="G869" s="1" t="e">
        <v>#VALUE!</v>
      </c>
      <c r="H869" s="1" t="e">
        <v>#VALUE!</v>
      </c>
      <c r="I869" s="1" t="e">
        <v>#VALUE!</v>
      </c>
    </row>
    <row r="870" spans="1:9" ht="16.5" hidden="1" customHeight="1">
      <c r="A870" s="1" t="e">
        <v>#VALUE!</v>
      </c>
      <c r="B870" s="1" t="e">
        <v>#VALUE!</v>
      </c>
      <c r="C870" s="1" t="e">
        <v>#VALUE!</v>
      </c>
      <c r="D870" s="1" t="e">
        <v>#VALUE!</v>
      </c>
      <c r="E870" s="1" t="e">
        <v>#VALUE!</v>
      </c>
      <c r="F870" s="1" t="e">
        <v>#VALUE!</v>
      </c>
      <c r="G870" s="1" t="e">
        <v>#VALUE!</v>
      </c>
      <c r="H870" s="1" t="e">
        <v>#VALUE!</v>
      </c>
      <c r="I870" s="1" t="e">
        <v>#VALUE!</v>
      </c>
    </row>
    <row r="871" spans="1:9" ht="16.5" hidden="1" customHeight="1">
      <c r="A871" s="1" t="e">
        <v>#VALUE!</v>
      </c>
      <c r="B871" s="1" t="e">
        <v>#VALUE!</v>
      </c>
      <c r="C871" s="1" t="e">
        <v>#VALUE!</v>
      </c>
      <c r="D871" s="1" t="e">
        <v>#VALUE!</v>
      </c>
      <c r="E871" s="1" t="e">
        <v>#VALUE!</v>
      </c>
      <c r="F871" s="1" t="e">
        <v>#VALUE!</v>
      </c>
      <c r="G871" s="1" t="e">
        <v>#VALUE!</v>
      </c>
      <c r="H871" s="1" t="e">
        <v>#VALUE!</v>
      </c>
      <c r="I871" s="1" t="e">
        <v>#VALUE!</v>
      </c>
    </row>
    <row r="872" spans="1:9" ht="16.5" hidden="1" customHeight="1">
      <c r="A872" s="1" t="s">
        <v>41</v>
      </c>
    </row>
    <row r="873" spans="1:9" ht="16.5" hidden="1" customHeight="1">
      <c r="A873" s="1" t="e">
        <f>LN(MDETERM(A843:I851))+SUM(A863,B864,C865,D866,E867,F868,G869,H870,I871)-LN(MDETERM(A80:I88))-9</f>
        <v>#VALUE!</v>
      </c>
    </row>
    <row r="874" spans="1:9" ht="16.5" hidden="1" customHeight="1">
      <c r="A874" s="1" t="e">
        <f>MIN($A$873)</f>
        <v>#VALUE!</v>
      </c>
    </row>
    <row r="875" spans="1:9" ht="16.5" hidden="1" customHeight="1">
      <c r="A875" s="1">
        <f>COUNT($B$833,$B$834,$B$835,$B$836,$B$837,$B$838,$B$839,$B$840,$B$841,$D$832)</f>
        <v>10</v>
      </c>
    </row>
    <row r="876" spans="1:9" ht="16.5" hidden="1" customHeight="1">
      <c r="A876" s="1">
        <f>{32767,32767,0.000001,0.01,FALSE,FALSE,TRUE,1,1,1,0.0001,TRUE}</f>
        <v>32767</v>
      </c>
    </row>
    <row r="877" spans="1:9" ht="16.5" hidden="1" customHeight="1">
      <c r="A877" s="1">
        <f>{0,0,1,100,0,FALSE,TRUE,0.075,0,0,FALSE,30}</f>
        <v>0</v>
      </c>
    </row>
    <row r="878" spans="1:9" ht="16.5" hidden="1" customHeight="1">
      <c r="A878" s="1" t="s">
        <v>72</v>
      </c>
    </row>
    <row r="879" spans="1:9" ht="16.5" hidden="1" customHeight="1">
      <c r="A879" s="1" t="s">
        <v>45</v>
      </c>
      <c r="B879" s="1" t="s">
        <v>46</v>
      </c>
      <c r="C879" s="1" t="s">
        <v>53</v>
      </c>
      <c r="D879" s="1">
        <v>0.69075200134688219</v>
      </c>
    </row>
    <row r="880" spans="1:9" ht="16.5" hidden="1" customHeight="1">
      <c r="C880" s="1" t="s">
        <v>68</v>
      </c>
      <c r="D880" s="1">
        <v>0.52286057947845344</v>
      </c>
    </row>
    <row r="881" spans="1:9" ht="16.5" hidden="1" customHeight="1">
      <c r="A881" s="1" t="s">
        <v>69</v>
      </c>
    </row>
    <row r="882" spans="1:9" ht="16.5" hidden="1" customHeight="1">
      <c r="A882" s="1">
        <f>$D$879^2+$D$880</f>
        <v>0.99999890684317649</v>
      </c>
      <c r="B882" s="1">
        <f t="shared" ref="B882:I882" si="53">$D$879^2</f>
        <v>0.47713832736472311</v>
      </c>
      <c r="C882" s="1">
        <f t="shared" si="53"/>
        <v>0.47713832736472311</v>
      </c>
      <c r="D882" s="1">
        <f t="shared" si="53"/>
        <v>0.47713832736472311</v>
      </c>
      <c r="E882" s="1">
        <f t="shared" si="53"/>
        <v>0.47713832736472311</v>
      </c>
      <c r="F882" s="1">
        <f t="shared" si="53"/>
        <v>0.47713832736472311</v>
      </c>
      <c r="G882" s="1">
        <f t="shared" si="53"/>
        <v>0.47713832736472311</v>
      </c>
      <c r="H882" s="1">
        <f t="shared" si="53"/>
        <v>0.47713832736472311</v>
      </c>
      <c r="I882" s="1">
        <f t="shared" si="53"/>
        <v>0.47713832736472311</v>
      </c>
    </row>
    <row r="883" spans="1:9" ht="16.5" hidden="1" customHeight="1">
      <c r="A883" s="1">
        <f t="shared" ref="A883:I890" si="54">$D$879^2</f>
        <v>0.47713832736472311</v>
      </c>
      <c r="B883" s="1">
        <f>$D$879^2+$D$880</f>
        <v>0.99999890684317649</v>
      </c>
      <c r="C883" s="1">
        <f t="shared" si="54"/>
        <v>0.47713832736472311</v>
      </c>
      <c r="D883" s="1">
        <f t="shared" si="54"/>
        <v>0.47713832736472311</v>
      </c>
      <c r="E883" s="1">
        <f t="shared" si="54"/>
        <v>0.47713832736472311</v>
      </c>
      <c r="F883" s="1">
        <f t="shared" si="54"/>
        <v>0.47713832736472311</v>
      </c>
      <c r="G883" s="1">
        <f t="shared" si="54"/>
        <v>0.47713832736472311</v>
      </c>
      <c r="H883" s="1">
        <f t="shared" si="54"/>
        <v>0.47713832736472311</v>
      </c>
      <c r="I883" s="1">
        <f t="shared" si="54"/>
        <v>0.47713832736472311</v>
      </c>
    </row>
    <row r="884" spans="1:9" ht="16.5" hidden="1" customHeight="1">
      <c r="A884" s="1">
        <f t="shared" si="54"/>
        <v>0.47713832736472311</v>
      </c>
      <c r="B884" s="1">
        <f t="shared" si="54"/>
        <v>0.47713832736472311</v>
      </c>
      <c r="C884" s="1">
        <f>$D$879^2+$D$880</f>
        <v>0.99999890684317649</v>
      </c>
      <c r="D884" s="1">
        <f t="shared" si="54"/>
        <v>0.47713832736472311</v>
      </c>
      <c r="E884" s="1">
        <f t="shared" si="54"/>
        <v>0.47713832736472311</v>
      </c>
      <c r="F884" s="1">
        <f t="shared" si="54"/>
        <v>0.47713832736472311</v>
      </c>
      <c r="G884" s="1">
        <f t="shared" si="54"/>
        <v>0.47713832736472311</v>
      </c>
      <c r="H884" s="1">
        <f t="shared" si="54"/>
        <v>0.47713832736472311</v>
      </c>
      <c r="I884" s="1">
        <f t="shared" si="54"/>
        <v>0.47713832736472311</v>
      </c>
    </row>
    <row r="885" spans="1:9" ht="16.5" hidden="1" customHeight="1">
      <c r="A885" s="1">
        <f t="shared" si="54"/>
        <v>0.47713832736472311</v>
      </c>
      <c r="B885" s="1">
        <f t="shared" si="54"/>
        <v>0.47713832736472311</v>
      </c>
      <c r="C885" s="1">
        <f t="shared" si="54"/>
        <v>0.47713832736472311</v>
      </c>
      <c r="D885" s="1">
        <f>$D$879^2+$D$880</f>
        <v>0.99999890684317649</v>
      </c>
      <c r="E885" s="1">
        <f t="shared" si="54"/>
        <v>0.47713832736472311</v>
      </c>
      <c r="F885" s="1">
        <f t="shared" si="54"/>
        <v>0.47713832736472311</v>
      </c>
      <c r="G885" s="1">
        <f t="shared" si="54"/>
        <v>0.47713832736472311</v>
      </c>
      <c r="H885" s="1">
        <f t="shared" si="54"/>
        <v>0.47713832736472311</v>
      </c>
      <c r="I885" s="1">
        <f t="shared" si="54"/>
        <v>0.47713832736472311</v>
      </c>
    </row>
    <row r="886" spans="1:9" ht="16.5" hidden="1" customHeight="1">
      <c r="A886" s="1">
        <f t="shared" si="54"/>
        <v>0.47713832736472311</v>
      </c>
      <c r="B886" s="1">
        <f t="shared" si="54"/>
        <v>0.47713832736472311</v>
      </c>
      <c r="C886" s="1">
        <f t="shared" si="54"/>
        <v>0.47713832736472311</v>
      </c>
      <c r="D886" s="1">
        <f t="shared" si="54"/>
        <v>0.47713832736472311</v>
      </c>
      <c r="E886" s="1">
        <f>$D$879^2+$D$880</f>
        <v>0.99999890684317649</v>
      </c>
      <c r="F886" s="1">
        <f t="shared" si="54"/>
        <v>0.47713832736472311</v>
      </c>
      <c r="G886" s="1">
        <f t="shared" si="54"/>
        <v>0.47713832736472311</v>
      </c>
      <c r="H886" s="1">
        <f t="shared" si="54"/>
        <v>0.47713832736472311</v>
      </c>
      <c r="I886" s="1">
        <f t="shared" si="54"/>
        <v>0.47713832736472311</v>
      </c>
    </row>
    <row r="887" spans="1:9" ht="16.5" hidden="1" customHeight="1">
      <c r="A887" s="1">
        <f t="shared" si="54"/>
        <v>0.47713832736472311</v>
      </c>
      <c r="B887" s="1">
        <f t="shared" si="54"/>
        <v>0.47713832736472311</v>
      </c>
      <c r="C887" s="1">
        <f t="shared" si="54"/>
        <v>0.47713832736472311</v>
      </c>
      <c r="D887" s="1">
        <f t="shared" si="54"/>
        <v>0.47713832736472311</v>
      </c>
      <c r="E887" s="1">
        <f t="shared" si="54"/>
        <v>0.47713832736472311</v>
      </c>
      <c r="F887" s="1">
        <f>$D$879^2+$D$880</f>
        <v>0.99999890684317649</v>
      </c>
      <c r="G887" s="1">
        <f t="shared" si="54"/>
        <v>0.47713832736472311</v>
      </c>
      <c r="H887" s="1">
        <f t="shared" si="54"/>
        <v>0.47713832736472311</v>
      </c>
      <c r="I887" s="1">
        <f t="shared" si="54"/>
        <v>0.47713832736472311</v>
      </c>
    </row>
    <row r="888" spans="1:9" ht="16.5" hidden="1" customHeight="1">
      <c r="A888" s="1">
        <f t="shared" si="54"/>
        <v>0.47713832736472311</v>
      </c>
      <c r="B888" s="1">
        <f t="shared" si="54"/>
        <v>0.47713832736472311</v>
      </c>
      <c r="C888" s="1">
        <f t="shared" si="54"/>
        <v>0.47713832736472311</v>
      </c>
      <c r="D888" s="1">
        <f t="shared" si="54"/>
        <v>0.47713832736472311</v>
      </c>
      <c r="E888" s="1">
        <f t="shared" si="54"/>
        <v>0.47713832736472311</v>
      </c>
      <c r="F888" s="1">
        <f t="shared" si="54"/>
        <v>0.47713832736472311</v>
      </c>
      <c r="G888" s="1">
        <f>$D$879^2+$D$880</f>
        <v>0.99999890684317649</v>
      </c>
      <c r="H888" s="1">
        <f t="shared" si="54"/>
        <v>0.47713832736472311</v>
      </c>
      <c r="I888" s="1">
        <f t="shared" si="54"/>
        <v>0.47713832736472311</v>
      </c>
    </row>
    <row r="889" spans="1:9" ht="16.5" hidden="1" customHeight="1">
      <c r="A889" s="1">
        <f t="shared" si="54"/>
        <v>0.47713832736472311</v>
      </c>
      <c r="B889" s="1">
        <f t="shared" si="54"/>
        <v>0.47713832736472311</v>
      </c>
      <c r="C889" s="1">
        <f t="shared" si="54"/>
        <v>0.47713832736472311</v>
      </c>
      <c r="D889" s="1">
        <f t="shared" si="54"/>
        <v>0.47713832736472311</v>
      </c>
      <c r="E889" s="1">
        <f t="shared" si="54"/>
        <v>0.47713832736472311</v>
      </c>
      <c r="F889" s="1">
        <f t="shared" si="54"/>
        <v>0.47713832736472311</v>
      </c>
      <c r="G889" s="1">
        <f t="shared" si="54"/>
        <v>0.47713832736472311</v>
      </c>
      <c r="H889" s="1">
        <f>$D$879^2+$D$880</f>
        <v>0.99999890684317649</v>
      </c>
      <c r="I889" s="1">
        <f t="shared" si="54"/>
        <v>0.47713832736472311</v>
      </c>
    </row>
    <row r="890" spans="1:9" ht="16.5" hidden="1" customHeight="1">
      <c r="A890" s="1">
        <f t="shared" si="54"/>
        <v>0.47713832736472311</v>
      </c>
      <c r="B890" s="1">
        <f t="shared" si="54"/>
        <v>0.47713832736472311</v>
      </c>
      <c r="C890" s="1">
        <f t="shared" si="54"/>
        <v>0.47713832736472311</v>
      </c>
      <c r="D890" s="1">
        <f t="shared" si="54"/>
        <v>0.47713832736472311</v>
      </c>
      <c r="E890" s="1">
        <f t="shared" si="54"/>
        <v>0.47713832736472311</v>
      </c>
      <c r="F890" s="1">
        <f t="shared" si="54"/>
        <v>0.47713832736472311</v>
      </c>
      <c r="G890" s="1">
        <f t="shared" si="54"/>
        <v>0.47713832736472311</v>
      </c>
      <c r="H890" s="1">
        <f t="shared" si="54"/>
        <v>0.47713832736472311</v>
      </c>
      <c r="I890" s="1">
        <f>$D$879^2+$D$880</f>
        <v>0.99999890684317649</v>
      </c>
    </row>
    <row r="891" spans="1:9" ht="16.5" hidden="1" customHeight="1">
      <c r="A891" s="1" t="s">
        <v>61</v>
      </c>
    </row>
    <row r="892" spans="1:9" ht="16.5" hidden="1" customHeight="1">
      <c r="A892" s="1">
        <f t="array" ref="A892:I900">MINVERSE(A882:I890)</f>
        <v>1.7231154915652045</v>
      </c>
      <c r="B892" s="1">
        <v>-0.18944024365103046</v>
      </c>
      <c r="C892" s="1">
        <v>-0.18944024365103046</v>
      </c>
      <c r="D892" s="1">
        <v>-0.1894402436510306</v>
      </c>
      <c r="E892" s="1">
        <v>-0.18944024365103071</v>
      </c>
      <c r="F892" s="1">
        <v>-0.1894402436510306</v>
      </c>
      <c r="G892" s="1">
        <v>-0.18944024365103068</v>
      </c>
      <c r="H892" s="1">
        <v>-0.18944024365103074</v>
      </c>
      <c r="I892" s="1">
        <v>-0.18944024365103057</v>
      </c>
    </row>
    <row r="893" spans="1:9" ht="16.5" hidden="1" customHeight="1">
      <c r="A893" s="1">
        <v>-0.18944024365103052</v>
      </c>
      <c r="B893" s="1">
        <v>1.7231154915652036</v>
      </c>
      <c r="C893" s="1">
        <v>-0.18944024365103057</v>
      </c>
      <c r="D893" s="1">
        <v>-0.18944024365103065</v>
      </c>
      <c r="E893" s="1">
        <v>-0.18944024365103065</v>
      </c>
      <c r="F893" s="1">
        <v>-0.18944024365103052</v>
      </c>
      <c r="G893" s="1">
        <v>-0.18944024365103057</v>
      </c>
      <c r="H893" s="1">
        <v>-0.18944024365103057</v>
      </c>
      <c r="I893" s="1">
        <v>-0.18944024365103057</v>
      </c>
    </row>
    <row r="894" spans="1:9" ht="16.5" hidden="1" customHeight="1">
      <c r="A894" s="1">
        <v>-0.18944024365103074</v>
      </c>
      <c r="B894" s="1">
        <v>-0.18944024365103065</v>
      </c>
      <c r="C894" s="1">
        <v>1.7231154915652036</v>
      </c>
      <c r="D894" s="1">
        <v>-0.18944024365103074</v>
      </c>
      <c r="E894" s="1">
        <v>-0.18944024365103074</v>
      </c>
      <c r="F894" s="1">
        <v>-0.18944024365103052</v>
      </c>
      <c r="G894" s="1">
        <v>-0.18944024365103057</v>
      </c>
      <c r="H894" s="1">
        <v>-0.18944024365103057</v>
      </c>
      <c r="I894" s="1">
        <v>-0.18944024365103057</v>
      </c>
    </row>
    <row r="895" spans="1:9" ht="16.5" hidden="1" customHeight="1">
      <c r="A895" s="1">
        <v>-0.18944024365103065</v>
      </c>
      <c r="B895" s="1">
        <v>-0.18944024365103063</v>
      </c>
      <c r="C895" s="1">
        <v>-0.18944024365103057</v>
      </c>
      <c r="D895" s="1">
        <v>1.7231154915652045</v>
      </c>
      <c r="E895" s="1">
        <v>-0.18944024365103071</v>
      </c>
      <c r="F895" s="1">
        <v>-0.18944024365103054</v>
      </c>
      <c r="G895" s="1">
        <v>-0.18944024365103063</v>
      </c>
      <c r="H895" s="1">
        <v>-0.18944024365103057</v>
      </c>
      <c r="I895" s="1">
        <v>-0.18944024365103063</v>
      </c>
    </row>
    <row r="896" spans="1:9" ht="16.5" hidden="1" customHeight="1">
      <c r="A896" s="1">
        <v>-0.18944024365103065</v>
      </c>
      <c r="B896" s="1">
        <v>-0.18944024365103057</v>
      </c>
      <c r="C896" s="1">
        <v>-0.18944024365103057</v>
      </c>
      <c r="D896" s="1">
        <v>-0.18944024365103065</v>
      </c>
      <c r="E896" s="1">
        <v>1.7231154915652045</v>
      </c>
      <c r="F896" s="1">
        <v>-0.18944024365103057</v>
      </c>
      <c r="G896" s="1">
        <v>-0.18944024365103057</v>
      </c>
      <c r="H896" s="1">
        <v>-0.18944024365103057</v>
      </c>
      <c r="I896" s="1">
        <v>-0.18944024365103057</v>
      </c>
    </row>
    <row r="897" spans="1:9" ht="16.5" hidden="1" customHeight="1">
      <c r="A897" s="1">
        <v>-0.18944024365103063</v>
      </c>
      <c r="B897" s="1">
        <v>-0.1894402436510306</v>
      </c>
      <c r="C897" s="1">
        <v>-0.1894402436510306</v>
      </c>
      <c r="D897" s="1">
        <v>-0.18944024365103063</v>
      </c>
      <c r="E897" s="1">
        <v>-0.18944024365103057</v>
      </c>
      <c r="F897" s="1">
        <v>1.7231154915652036</v>
      </c>
      <c r="G897" s="1">
        <v>-0.1894402436510306</v>
      </c>
      <c r="H897" s="1">
        <v>-0.1894402436510306</v>
      </c>
      <c r="I897" s="1">
        <v>-0.18944024365103063</v>
      </c>
    </row>
    <row r="898" spans="1:9" ht="16.5" hidden="1" customHeight="1">
      <c r="A898" s="1">
        <v>-0.18944024365103063</v>
      </c>
      <c r="B898" s="1">
        <v>-0.1894402436510306</v>
      </c>
      <c r="C898" s="1">
        <v>-0.1894402436510306</v>
      </c>
      <c r="D898" s="1">
        <v>-0.18944024365103063</v>
      </c>
      <c r="E898" s="1">
        <v>-0.18944024365103063</v>
      </c>
      <c r="F898" s="1">
        <v>-0.18944024365103063</v>
      </c>
      <c r="G898" s="1">
        <v>1.7231154915652038</v>
      </c>
      <c r="H898" s="1">
        <v>-0.1894402436510306</v>
      </c>
      <c r="I898" s="1">
        <v>-0.1894402436510306</v>
      </c>
    </row>
    <row r="899" spans="1:9" ht="16.5" hidden="1" customHeight="1">
      <c r="A899" s="1">
        <v>-0.18944024365103063</v>
      </c>
      <c r="B899" s="1">
        <v>-0.18944024365103057</v>
      </c>
      <c r="C899" s="1">
        <v>-0.18944024365103057</v>
      </c>
      <c r="D899" s="1">
        <v>-0.18944024365103063</v>
      </c>
      <c r="E899" s="1">
        <v>-0.18944024365103063</v>
      </c>
      <c r="F899" s="1">
        <v>-0.18944024365103063</v>
      </c>
      <c r="G899" s="1">
        <v>-0.18944024365103057</v>
      </c>
      <c r="H899" s="1">
        <v>1.7231154915652038</v>
      </c>
      <c r="I899" s="1">
        <v>-0.18944024365103057</v>
      </c>
    </row>
    <row r="900" spans="1:9" ht="16.5" hidden="1" customHeight="1">
      <c r="A900" s="1">
        <v>-0.18944024365103063</v>
      </c>
      <c r="B900" s="1">
        <v>-0.18944024365103057</v>
      </c>
      <c r="C900" s="1">
        <v>-0.18944024365103057</v>
      </c>
      <c r="D900" s="1">
        <v>-0.18944024365103063</v>
      </c>
      <c r="E900" s="1">
        <v>-0.18944024365103063</v>
      </c>
      <c r="F900" s="1">
        <v>-0.18944024365103063</v>
      </c>
      <c r="G900" s="1">
        <v>-0.18944024365103057</v>
      </c>
      <c r="H900" s="1">
        <v>-0.18944024365103057</v>
      </c>
      <c r="I900" s="1">
        <v>1.7231154915652038</v>
      </c>
    </row>
    <row r="901" spans="1:9" ht="16.5" hidden="1" customHeight="1">
      <c r="A901" s="1" t="s">
        <v>54</v>
      </c>
    </row>
    <row r="902" spans="1:9" ht="16.5" hidden="1" customHeight="1">
      <c r="A902" s="1" t="e">
        <f t="array" ref="A902:I910">MMULT(A80:I88,A892:I900)</f>
        <v>#VALUE!</v>
      </c>
      <c r="B902" s="1" t="e">
        <v>#VALUE!</v>
      </c>
      <c r="C902" s="1" t="e">
        <v>#VALUE!</v>
      </c>
      <c r="D902" s="1" t="e">
        <v>#VALUE!</v>
      </c>
      <c r="E902" s="1" t="e">
        <v>#VALUE!</v>
      </c>
      <c r="F902" s="1" t="e">
        <v>#VALUE!</v>
      </c>
      <c r="G902" s="1" t="e">
        <v>#VALUE!</v>
      </c>
      <c r="H902" s="1" t="e">
        <v>#VALUE!</v>
      </c>
      <c r="I902" s="1" t="e">
        <v>#VALUE!</v>
      </c>
    </row>
    <row r="903" spans="1:9" ht="16.5" hidden="1" customHeight="1">
      <c r="A903" s="1" t="e">
        <v>#VALUE!</v>
      </c>
      <c r="B903" s="1" t="e">
        <v>#VALUE!</v>
      </c>
      <c r="C903" s="1" t="e">
        <v>#VALUE!</v>
      </c>
      <c r="D903" s="1" t="e">
        <v>#VALUE!</v>
      </c>
      <c r="E903" s="1" t="e">
        <v>#VALUE!</v>
      </c>
      <c r="F903" s="1" t="e">
        <v>#VALUE!</v>
      </c>
      <c r="G903" s="1" t="e">
        <v>#VALUE!</v>
      </c>
      <c r="H903" s="1" t="e">
        <v>#VALUE!</v>
      </c>
      <c r="I903" s="1" t="e">
        <v>#VALUE!</v>
      </c>
    </row>
    <row r="904" spans="1:9" ht="16.5" hidden="1" customHeight="1">
      <c r="A904" s="1" t="e">
        <v>#VALUE!</v>
      </c>
      <c r="B904" s="1" t="e">
        <v>#VALUE!</v>
      </c>
      <c r="C904" s="1" t="e">
        <v>#VALUE!</v>
      </c>
      <c r="D904" s="1" t="e">
        <v>#VALUE!</v>
      </c>
      <c r="E904" s="1" t="e">
        <v>#VALUE!</v>
      </c>
      <c r="F904" s="1" t="e">
        <v>#VALUE!</v>
      </c>
      <c r="G904" s="1" t="e">
        <v>#VALUE!</v>
      </c>
      <c r="H904" s="1" t="e">
        <v>#VALUE!</v>
      </c>
      <c r="I904" s="1" t="e">
        <v>#VALUE!</v>
      </c>
    </row>
    <row r="905" spans="1:9" ht="16.5" hidden="1" customHeight="1">
      <c r="A905" s="1" t="e">
        <v>#VALUE!</v>
      </c>
      <c r="B905" s="1" t="e">
        <v>#VALUE!</v>
      </c>
      <c r="C905" s="1" t="e">
        <v>#VALUE!</v>
      </c>
      <c r="D905" s="1" t="e">
        <v>#VALUE!</v>
      </c>
      <c r="E905" s="1" t="e">
        <v>#VALUE!</v>
      </c>
      <c r="F905" s="1" t="e">
        <v>#VALUE!</v>
      </c>
      <c r="G905" s="1" t="e">
        <v>#VALUE!</v>
      </c>
      <c r="H905" s="1" t="e">
        <v>#VALUE!</v>
      </c>
      <c r="I905" s="1" t="e">
        <v>#VALUE!</v>
      </c>
    </row>
    <row r="906" spans="1:9" ht="16.5" hidden="1" customHeight="1">
      <c r="A906" s="1" t="e">
        <v>#VALUE!</v>
      </c>
      <c r="B906" s="1" t="e">
        <v>#VALUE!</v>
      </c>
      <c r="C906" s="1" t="e">
        <v>#VALUE!</v>
      </c>
      <c r="D906" s="1" t="e">
        <v>#VALUE!</v>
      </c>
      <c r="E906" s="1" t="e">
        <v>#VALUE!</v>
      </c>
      <c r="F906" s="1" t="e">
        <v>#VALUE!</v>
      </c>
      <c r="G906" s="1" t="e">
        <v>#VALUE!</v>
      </c>
      <c r="H906" s="1" t="e">
        <v>#VALUE!</v>
      </c>
      <c r="I906" s="1" t="e">
        <v>#VALUE!</v>
      </c>
    </row>
    <row r="907" spans="1:9" ht="16.5" hidden="1" customHeight="1">
      <c r="A907" s="1" t="e">
        <v>#VALUE!</v>
      </c>
      <c r="B907" s="1" t="e">
        <v>#VALUE!</v>
      </c>
      <c r="C907" s="1" t="e">
        <v>#VALUE!</v>
      </c>
      <c r="D907" s="1" t="e">
        <v>#VALUE!</v>
      </c>
      <c r="E907" s="1" t="e">
        <v>#VALUE!</v>
      </c>
      <c r="F907" s="1" t="e">
        <v>#VALUE!</v>
      </c>
      <c r="G907" s="1" t="e">
        <v>#VALUE!</v>
      </c>
      <c r="H907" s="1" t="e">
        <v>#VALUE!</v>
      </c>
      <c r="I907" s="1" t="e">
        <v>#VALUE!</v>
      </c>
    </row>
    <row r="908" spans="1:9" ht="16.5" hidden="1" customHeight="1">
      <c r="A908" s="1" t="e">
        <v>#VALUE!</v>
      </c>
      <c r="B908" s="1" t="e">
        <v>#VALUE!</v>
      </c>
      <c r="C908" s="1" t="e">
        <v>#VALUE!</v>
      </c>
      <c r="D908" s="1" t="e">
        <v>#VALUE!</v>
      </c>
      <c r="E908" s="1" t="e">
        <v>#VALUE!</v>
      </c>
      <c r="F908" s="1" t="e">
        <v>#VALUE!</v>
      </c>
      <c r="G908" s="1" t="e">
        <v>#VALUE!</v>
      </c>
      <c r="H908" s="1" t="e">
        <v>#VALUE!</v>
      </c>
      <c r="I908" s="1" t="e">
        <v>#VALUE!</v>
      </c>
    </row>
    <row r="909" spans="1:9" ht="16.5" hidden="1" customHeight="1">
      <c r="A909" s="1" t="e">
        <v>#VALUE!</v>
      </c>
      <c r="B909" s="1" t="e">
        <v>#VALUE!</v>
      </c>
      <c r="C909" s="1" t="e">
        <v>#VALUE!</v>
      </c>
      <c r="D909" s="1" t="e">
        <v>#VALUE!</v>
      </c>
      <c r="E909" s="1" t="e">
        <v>#VALUE!</v>
      </c>
      <c r="F909" s="1" t="e">
        <v>#VALUE!</v>
      </c>
      <c r="G909" s="1" t="e">
        <v>#VALUE!</v>
      </c>
      <c r="H909" s="1" t="e">
        <v>#VALUE!</v>
      </c>
      <c r="I909" s="1" t="e">
        <v>#VALUE!</v>
      </c>
    </row>
    <row r="910" spans="1:9" ht="16.5" hidden="1" customHeight="1">
      <c r="A910" s="1" t="e">
        <v>#VALUE!</v>
      </c>
      <c r="B910" s="1" t="e">
        <v>#VALUE!</v>
      </c>
      <c r="C910" s="1" t="e">
        <v>#VALUE!</v>
      </c>
      <c r="D910" s="1" t="e">
        <v>#VALUE!</v>
      </c>
      <c r="E910" s="1" t="e">
        <v>#VALUE!</v>
      </c>
      <c r="F910" s="1" t="e">
        <v>#VALUE!</v>
      </c>
      <c r="G910" s="1" t="e">
        <v>#VALUE!</v>
      </c>
      <c r="H910" s="1" t="e">
        <v>#VALUE!</v>
      </c>
      <c r="I910" s="1" t="e">
        <v>#VALUE!</v>
      </c>
    </row>
    <row r="911" spans="1:9" ht="16.5" hidden="1" customHeight="1">
      <c r="A911" s="1" t="s">
        <v>41</v>
      </c>
    </row>
    <row r="912" spans="1:9" ht="16.5" hidden="1" customHeight="1">
      <c r="A912" s="1" t="e">
        <f>LN(MDETERM(A882:I890))+SUM(A902,B903,C904,D905,E906,F907,G908,H909,I910)-LN(MDETERM(A80:I88))-9</f>
        <v>#VALUE!</v>
      </c>
    </row>
    <row r="913" spans="1:9" ht="16.5" hidden="1" customHeight="1">
      <c r="A913" s="1" t="e">
        <f>MIN($A$912)</f>
        <v>#VALUE!</v>
      </c>
    </row>
    <row r="914" spans="1:9" ht="16.5" hidden="1" customHeight="1">
      <c r="A914" s="1">
        <f>COUNT($D$879,$D$880)</f>
        <v>2</v>
      </c>
    </row>
    <row r="915" spans="1:9" ht="16.5" hidden="1" customHeight="1">
      <c r="A915" s="1">
        <f>{32767,32767,0.000001,0.01,FALSE,FALSE,TRUE,1,1,1,0.0001,TRUE}</f>
        <v>32767</v>
      </c>
    </row>
    <row r="916" spans="1:9" ht="16.5" hidden="1" customHeight="1">
      <c r="A916" s="1">
        <f>{0,0,1,100,0,FALSE,TRUE,0.075,0,0,FALSE,30}</f>
        <v>0</v>
      </c>
    </row>
    <row r="917" spans="1:9" ht="16.5" hidden="1" customHeight="1">
      <c r="A917" s="1" t="s">
        <v>65</v>
      </c>
    </row>
    <row r="918" spans="1:9" ht="16.5" hidden="1" customHeight="1">
      <c r="A918" s="1">
        <f>A80</f>
        <v>10</v>
      </c>
      <c r="B918" s="1">
        <v>0</v>
      </c>
      <c r="C918" s="1">
        <v>0</v>
      </c>
      <c r="D918" s="1">
        <v>0</v>
      </c>
      <c r="E918" s="1">
        <v>0</v>
      </c>
      <c r="F918" s="1">
        <v>0</v>
      </c>
      <c r="G918" s="1">
        <v>0</v>
      </c>
      <c r="H918" s="1">
        <v>0</v>
      </c>
      <c r="I918" s="1">
        <v>0</v>
      </c>
    </row>
    <row r="919" spans="1:9" ht="16.5" hidden="1" customHeight="1">
      <c r="A919" s="1">
        <v>0</v>
      </c>
      <c r="B919" s="1">
        <f>B81</f>
        <v>11</v>
      </c>
      <c r="C919" s="1">
        <v>0</v>
      </c>
      <c r="D919" s="1">
        <v>0</v>
      </c>
      <c r="E919" s="1">
        <v>0</v>
      </c>
      <c r="F919" s="1">
        <v>0</v>
      </c>
      <c r="G919" s="1">
        <v>0</v>
      </c>
      <c r="H919" s="1">
        <v>0</v>
      </c>
      <c r="I919" s="1">
        <v>0</v>
      </c>
    </row>
    <row r="920" spans="1:9" ht="16.5" hidden="1" customHeight="1">
      <c r="A920" s="1">
        <v>0</v>
      </c>
      <c r="B920" s="1">
        <v>0</v>
      </c>
      <c r="C920" s="1">
        <f>C82</f>
        <v>12</v>
      </c>
      <c r="D920" s="1">
        <v>0</v>
      </c>
      <c r="E920" s="1">
        <v>0</v>
      </c>
      <c r="F920" s="1">
        <v>0</v>
      </c>
      <c r="G920" s="1">
        <v>0</v>
      </c>
      <c r="H920" s="1">
        <v>0</v>
      </c>
      <c r="I920" s="1">
        <v>0</v>
      </c>
    </row>
    <row r="921" spans="1:9" ht="16.5" hidden="1" customHeight="1">
      <c r="A921" s="1">
        <v>0</v>
      </c>
      <c r="B921" s="1">
        <v>0</v>
      </c>
      <c r="C921" s="1">
        <v>0</v>
      </c>
      <c r="D921" s="1">
        <f>D83</f>
        <v>0</v>
      </c>
      <c r="E921" s="1">
        <v>0</v>
      </c>
      <c r="F921" s="1">
        <v>0</v>
      </c>
      <c r="G921" s="1">
        <v>0</v>
      </c>
      <c r="H921" s="1">
        <v>0</v>
      </c>
      <c r="I921" s="1">
        <v>0</v>
      </c>
    </row>
    <row r="922" spans="1:9" ht="16.5" hidden="1" customHeight="1">
      <c r="A922" s="1">
        <v>0</v>
      </c>
      <c r="B922" s="1">
        <v>0</v>
      </c>
      <c r="C922" s="1">
        <v>0</v>
      </c>
      <c r="D922" s="1">
        <v>0</v>
      </c>
      <c r="E922" s="1">
        <f>E84</f>
        <v>0</v>
      </c>
      <c r="F922" s="1">
        <v>0</v>
      </c>
      <c r="G922" s="1">
        <v>0</v>
      </c>
      <c r="H922" s="1">
        <v>0</v>
      </c>
      <c r="I922" s="1">
        <v>0</v>
      </c>
    </row>
    <row r="923" spans="1:9" ht="16.5" hidden="1" customHeight="1">
      <c r="A923" s="1">
        <v>0</v>
      </c>
      <c r="B923" s="1">
        <v>0</v>
      </c>
      <c r="C923" s="1">
        <v>0</v>
      </c>
      <c r="D923" s="1">
        <v>0</v>
      </c>
      <c r="E923" s="1">
        <v>0</v>
      </c>
      <c r="F923" s="1">
        <f>F85</f>
        <v>0</v>
      </c>
      <c r="G923" s="1">
        <v>0</v>
      </c>
      <c r="H923" s="1">
        <v>0</v>
      </c>
      <c r="I923" s="1">
        <v>0</v>
      </c>
    </row>
    <row r="924" spans="1:9" ht="16.5" hidden="1" customHeight="1">
      <c r="A924" s="1">
        <v>0</v>
      </c>
      <c r="B924" s="1">
        <v>0</v>
      </c>
      <c r="C924" s="1">
        <v>0</v>
      </c>
      <c r="D924" s="1">
        <v>0</v>
      </c>
      <c r="E924" s="1">
        <v>0</v>
      </c>
      <c r="F924" s="1">
        <v>0</v>
      </c>
      <c r="G924" s="1">
        <f>G86</f>
        <v>0</v>
      </c>
      <c r="H924" s="1">
        <v>0</v>
      </c>
      <c r="I924" s="1">
        <v>0</v>
      </c>
    </row>
    <row r="925" spans="1:9" ht="16.5" hidden="1" customHeight="1">
      <c r="A925" s="1">
        <v>0</v>
      </c>
      <c r="B925" s="1">
        <v>0</v>
      </c>
      <c r="C925" s="1">
        <v>0</v>
      </c>
      <c r="D925" s="1">
        <v>0</v>
      </c>
      <c r="E925" s="1">
        <v>0</v>
      </c>
      <c r="F925" s="1">
        <v>0</v>
      </c>
      <c r="G925" s="1">
        <v>0</v>
      </c>
      <c r="H925" s="1">
        <f>H87</f>
        <v>0</v>
      </c>
      <c r="I925" s="1">
        <v>0</v>
      </c>
    </row>
    <row r="926" spans="1:9" ht="16.5" hidden="1" customHeight="1">
      <c r="A926" s="1">
        <v>0</v>
      </c>
      <c r="B926" s="1">
        <v>0</v>
      </c>
      <c r="C926" s="1">
        <v>0</v>
      </c>
      <c r="D926" s="1">
        <v>0</v>
      </c>
      <c r="E926" s="1">
        <v>0</v>
      </c>
      <c r="F926" s="1">
        <v>0</v>
      </c>
      <c r="G926" s="1">
        <v>0</v>
      </c>
      <c r="H926" s="1">
        <v>0</v>
      </c>
      <c r="I926" s="1">
        <f>I88</f>
        <v>0</v>
      </c>
    </row>
    <row r="927" spans="1:9" ht="16.5" hidden="1" customHeight="1">
      <c r="A927" s="1" t="s">
        <v>41</v>
      </c>
    </row>
    <row r="928" spans="1:9" ht="16.5" hidden="1" customHeight="1">
      <c r="A928" s="1" t="e">
        <f>LN(MDETERM(A918:I926))-LN(MDETERM(A80:I88))</f>
        <v>#NUM!</v>
      </c>
    </row>
    <row r="929" spans="1:10" ht="16.5" hidden="1" customHeight="1">
      <c r="A929" s="1" t="s">
        <v>73</v>
      </c>
    </row>
    <row r="930" spans="1:10" ht="16.5" hidden="1" customHeight="1">
      <c r="A930" s="1" t="s">
        <v>35</v>
      </c>
      <c r="B930" s="1" t="s">
        <v>60</v>
      </c>
    </row>
    <row r="931" spans="1:10" ht="16.5" hidden="1" customHeight="1">
      <c r="A931" s="1">
        <v>0.87085797352720562</v>
      </c>
      <c r="B931" s="1">
        <v>0.24160016725850722</v>
      </c>
    </row>
    <row r="932" spans="1:10" ht="16.5" hidden="1" customHeight="1">
      <c r="A932" s="1">
        <v>0.88067819084498034</v>
      </c>
      <c r="B932" s="1">
        <v>0.22439939706400738</v>
      </c>
    </row>
    <row r="933" spans="1:10" ht="16.5" hidden="1" customHeight="1">
      <c r="A933" s="1">
        <v>0.83894840553387728</v>
      </c>
      <c r="B933" s="1">
        <v>0.29616013172358246</v>
      </c>
    </row>
    <row r="934" spans="1:10" ht="16.5" hidden="1" customHeight="1">
      <c r="A934" s="1">
        <v>0.60747703700589717</v>
      </c>
      <c r="B934" s="1">
        <v>0.63096891863403681</v>
      </c>
    </row>
    <row r="935" spans="1:10" ht="16.5" hidden="1" customHeight="1">
      <c r="A935" s="1">
        <v>0.5903558814469908</v>
      </c>
      <c r="B935" s="1">
        <v>0.65147621097822661</v>
      </c>
    </row>
    <row r="936" spans="1:10" ht="16.5" hidden="1" customHeight="1">
      <c r="A936" s="1">
        <v>0.57418255786795991</v>
      </c>
      <c r="B936" s="1">
        <v>0.67031234220754199</v>
      </c>
    </row>
    <row r="937" spans="1:10" ht="16.5" hidden="1" customHeight="1">
      <c r="A937" s="1">
        <v>0.57173829418241562</v>
      </c>
      <c r="B937" s="1">
        <v>0.67311293392958416</v>
      </c>
    </row>
    <row r="938" spans="1:10" ht="16.5" hidden="1" customHeight="1">
      <c r="A938" s="1">
        <v>0.64618710131763935</v>
      </c>
      <c r="B938" s="1">
        <v>0.5824385776260641</v>
      </c>
    </row>
    <row r="939" spans="1:10" ht="16.5" hidden="1" customHeight="1">
      <c r="A939" s="1">
        <v>0.51387263943193195</v>
      </c>
      <c r="B939" s="1">
        <v>0.73593202370979416</v>
      </c>
    </row>
    <row r="940" spans="1:10" ht="16.5" hidden="1" customHeight="1">
      <c r="A940" s="1">
        <v>0.51387290252362749</v>
      </c>
      <c r="B940" s="1">
        <v>0.73593187038798358</v>
      </c>
    </row>
    <row r="941" spans="1:10" ht="16.5" hidden="1" customHeight="1">
      <c r="A941" s="1" t="s">
        <v>48</v>
      </c>
    </row>
    <row r="942" spans="1:10" ht="16.5" hidden="1" customHeight="1">
      <c r="A942" s="1">
        <f t="array" ref="A942:J942">TRANSPOSE(A931:A940)</f>
        <v>0.87085797352720562</v>
      </c>
      <c r="B942" s="1">
        <v>0.88067819084498034</v>
      </c>
      <c r="C942" s="1">
        <v>0.83894840553387728</v>
      </c>
      <c r="D942" s="1">
        <v>0.60747703700589717</v>
      </c>
      <c r="E942" s="1">
        <v>0.5903558814469908</v>
      </c>
      <c r="F942" s="1">
        <v>0.57418255786795991</v>
      </c>
      <c r="G942" s="1">
        <v>0.57173829418241562</v>
      </c>
      <c r="H942" s="1">
        <v>0.64618710131763935</v>
      </c>
      <c r="I942" s="1">
        <v>0.51387263943193195</v>
      </c>
      <c r="J942" s="1">
        <v>0.51387290252362749</v>
      </c>
    </row>
    <row r="943" spans="1:10" ht="16.5" hidden="1" customHeight="1">
      <c r="A943" s="1" t="s">
        <v>69</v>
      </c>
    </row>
    <row r="944" spans="1:10" ht="16.5" hidden="1" customHeight="1">
      <c r="A944" s="1">
        <f>$A931*A$942+B931</f>
        <v>0.99999377731441841</v>
      </c>
      <c r="B944" s="1">
        <f t="shared" ref="B944:J944" si="55">$A931*B$942</f>
        <v>0.76694562460886517</v>
      </c>
      <c r="C944" s="1">
        <f t="shared" si="55"/>
        <v>0.73060490833711267</v>
      </c>
      <c r="D944" s="1">
        <f t="shared" si="55"/>
        <v>0.52902622141126687</v>
      </c>
      <c r="E944" s="1">
        <f t="shared" si="55"/>
        <v>0.51411612657679362</v>
      </c>
      <c r="F944" s="1">
        <f t="shared" si="55"/>
        <v>0.50003145877955901</v>
      </c>
      <c r="G944" s="1">
        <f t="shared" si="55"/>
        <v>0.49790285225959979</v>
      </c>
      <c r="H944" s="1">
        <f t="shared" si="55"/>
        <v>0.56273718957289853</v>
      </c>
      <c r="I944" s="1">
        <f t="shared" si="55"/>
        <v>0.44751008542676868</v>
      </c>
      <c r="J944" s="1">
        <f t="shared" si="55"/>
        <v>0.44751031454226953</v>
      </c>
    </row>
    <row r="945" spans="1:10" ht="16.5" hidden="1" customHeight="1">
      <c r="A945" s="1">
        <f t="shared" ref="A945:J952" si="56">$A932*A$942</f>
        <v>0.76694562460886517</v>
      </c>
      <c r="B945" s="1">
        <f>$A932*B$942+B932</f>
        <v>0.99999347289399498</v>
      </c>
      <c r="C945" s="1">
        <f t="shared" si="56"/>
        <v>0.73884356399785589</v>
      </c>
      <c r="D945" s="1">
        <f t="shared" si="56"/>
        <v>0.53499177793022268</v>
      </c>
      <c r="E945" s="1">
        <f t="shared" si="56"/>
        <v>0.51991354962742953</v>
      </c>
      <c r="F945" s="1">
        <f t="shared" si="56"/>
        <v>0.50567005627789818</v>
      </c>
      <c r="G945" s="1">
        <f t="shared" si="56"/>
        <v>0.50351744655736497</v>
      </c>
      <c r="H945" s="1">
        <f t="shared" si="56"/>
        <v>0.56908288733578061</v>
      </c>
      <c r="I945" s="1">
        <f t="shared" si="56"/>
        <v>0.45255642641964872</v>
      </c>
      <c r="J945" s="1">
        <f t="shared" si="56"/>
        <v>0.45255665811876722</v>
      </c>
    </row>
    <row r="946" spans="1:10" ht="16.5" hidden="1" customHeight="1">
      <c r="A946" s="1">
        <f t="shared" si="56"/>
        <v>0.73060490833711267</v>
      </c>
      <c r="B946" s="1">
        <f t="shared" si="56"/>
        <v>0.73884356399785589</v>
      </c>
      <c r="C946" s="1">
        <f>$A933*C$942+B933</f>
        <v>0.99999455887141753</v>
      </c>
      <c r="D946" s="1">
        <f t="shared" si="56"/>
        <v>0.50964189159454154</v>
      </c>
      <c r="E946" s="1">
        <f t="shared" si="56"/>
        <v>0.49527812543749961</v>
      </c>
      <c r="F946" s="1">
        <f t="shared" si="56"/>
        <v>0.48170954140868821</v>
      </c>
      <c r="G946" s="1">
        <f t="shared" si="56"/>
        <v>0.47965893028699647</v>
      </c>
      <c r="H946" s="1">
        <f t="shared" si="56"/>
        <v>0.54211763832699156</v>
      </c>
      <c r="I946" s="1">
        <f t="shared" si="56"/>
        <v>0.43111263149890433</v>
      </c>
      <c r="J946" s="1">
        <f t="shared" si="56"/>
        <v>0.43111285221926282</v>
      </c>
    </row>
    <row r="947" spans="1:10" ht="16.5" hidden="1" customHeight="1">
      <c r="A947" s="1">
        <f t="shared" si="56"/>
        <v>0.52902622141126687</v>
      </c>
      <c r="B947" s="1">
        <f t="shared" si="56"/>
        <v>0.53499177793022268</v>
      </c>
      <c r="C947" s="1">
        <f t="shared" si="56"/>
        <v>0.50964189159454154</v>
      </c>
      <c r="D947" s="1">
        <f>$A934*D$942+B934</f>
        <v>0.99999726912350095</v>
      </c>
      <c r="E947" s="1">
        <f t="shared" si="56"/>
        <v>0.35862764164042266</v>
      </c>
      <c r="F947" s="1">
        <f t="shared" si="56"/>
        <v>0.34880271895409537</v>
      </c>
      <c r="G947" s="1">
        <f t="shared" si="56"/>
        <v>0.34731788489273979</v>
      </c>
      <c r="H947" s="1">
        <f t="shared" si="56"/>
        <v>0.39254382565986901</v>
      </c>
      <c r="I947" s="1">
        <f t="shared" si="56"/>
        <v>0.31216582840050977</v>
      </c>
      <c r="J947" s="1">
        <f t="shared" si="56"/>
        <v>0.31216598822267344</v>
      </c>
    </row>
    <row r="948" spans="1:10" ht="16.5" hidden="1" customHeight="1">
      <c r="A948" s="1">
        <f t="shared" si="56"/>
        <v>0.51411612657679362</v>
      </c>
      <c r="B948" s="1">
        <f t="shared" si="56"/>
        <v>0.51991354962742953</v>
      </c>
      <c r="C948" s="1">
        <f t="shared" si="56"/>
        <v>0.49527812543749961</v>
      </c>
      <c r="D948" s="1">
        <f t="shared" si="56"/>
        <v>0.35862764164042266</v>
      </c>
      <c r="E948" s="1">
        <f>$A935*E$942+B935</f>
        <v>0.99999627773728006</v>
      </c>
      <c r="F948" s="1">
        <f t="shared" si="56"/>
        <v>0.33897205006162728</v>
      </c>
      <c r="G948" s="1">
        <f t="shared" si="56"/>
        <v>0.33752906461905891</v>
      </c>
      <c r="H948" s="1">
        <f t="shared" si="56"/>
        <v>0.38148035577805095</v>
      </c>
      <c r="I948" s="1">
        <f t="shared" si="56"/>
        <v>0.30336773500332986</v>
      </c>
      <c r="J948" s="1">
        <f t="shared" si="56"/>
        <v>0.30336789032105971</v>
      </c>
    </row>
    <row r="949" spans="1:10" ht="16.5" hidden="1" customHeight="1">
      <c r="A949" s="1">
        <f t="shared" si="56"/>
        <v>0.50003145877955901</v>
      </c>
      <c r="B949" s="1">
        <f t="shared" si="56"/>
        <v>0.50567005627789818</v>
      </c>
      <c r="C949" s="1">
        <f t="shared" si="56"/>
        <v>0.48170954140868821</v>
      </c>
      <c r="D949" s="1">
        <f t="shared" si="56"/>
        <v>0.34880271895409537</v>
      </c>
      <c r="E949" s="1">
        <f t="shared" si="56"/>
        <v>0.33897205006162728</v>
      </c>
      <c r="F949" s="1">
        <f>$A936*F$942+B936</f>
        <v>0.9999979519673351</v>
      </c>
      <c r="G949" s="1">
        <f t="shared" si="56"/>
        <v>0.32828215618472356</v>
      </c>
      <c r="H949" s="1">
        <f t="shared" si="56"/>
        <v>0.37102936269584474</v>
      </c>
      <c r="I949" s="1">
        <f t="shared" si="56"/>
        <v>0.29505670652738658</v>
      </c>
      <c r="J949" s="1">
        <f t="shared" si="56"/>
        <v>0.29505685759004929</v>
      </c>
    </row>
    <row r="950" spans="1:10" ht="16.5" hidden="1" customHeight="1">
      <c r="A950" s="1">
        <f t="shared" si="56"/>
        <v>0.49790285225959979</v>
      </c>
      <c r="B950" s="1">
        <f t="shared" si="56"/>
        <v>0.50351744655736497</v>
      </c>
      <c r="C950" s="1">
        <f t="shared" si="56"/>
        <v>0.47965893028699647</v>
      </c>
      <c r="D950" s="1">
        <f t="shared" si="56"/>
        <v>0.34731788489273979</v>
      </c>
      <c r="E950" s="1">
        <f t="shared" si="56"/>
        <v>0.33752906461905891</v>
      </c>
      <c r="F950" s="1">
        <f t="shared" si="56"/>
        <v>0.32828215618472356</v>
      </c>
      <c r="G950" s="1">
        <f>$A937*G$942+B937</f>
        <v>0.99999761096420259</v>
      </c>
      <c r="H950" s="1">
        <f t="shared" si="56"/>
        <v>0.36944991103002689</v>
      </c>
      <c r="I950" s="1">
        <f t="shared" si="56"/>
        <v>0.29380066629582829</v>
      </c>
      <c r="J950" s="1">
        <f t="shared" si="56"/>
        <v>0.29380081671542552</v>
      </c>
    </row>
    <row r="951" spans="1:10" ht="16.5" hidden="1" customHeight="1">
      <c r="A951" s="1">
        <f t="shared" si="56"/>
        <v>0.56273718957289853</v>
      </c>
      <c r="B951" s="1">
        <f t="shared" si="56"/>
        <v>0.56908288733578061</v>
      </c>
      <c r="C951" s="1">
        <f t="shared" si="56"/>
        <v>0.54211763832699156</v>
      </c>
      <c r="D951" s="1">
        <f t="shared" si="56"/>
        <v>0.39254382565986901</v>
      </c>
      <c r="E951" s="1">
        <f t="shared" si="56"/>
        <v>0.38148035577805095</v>
      </c>
      <c r="F951" s="1">
        <f t="shared" si="56"/>
        <v>0.37102936269584474</v>
      </c>
      <c r="G951" s="1">
        <f t="shared" si="56"/>
        <v>0.36944991103002689</v>
      </c>
      <c r="H951" s="1">
        <f>$A938*H$942+B938</f>
        <v>0.99999634753535727</v>
      </c>
      <c r="I951" s="1">
        <f t="shared" si="56"/>
        <v>0.33205787132096459</v>
      </c>
      <c r="J951" s="1">
        <f t="shared" si="56"/>
        <v>0.33205804132742467</v>
      </c>
    </row>
    <row r="952" spans="1:10" ht="16.5" hidden="1" customHeight="1">
      <c r="A952" s="1">
        <f t="shared" si="56"/>
        <v>0.44751008542676868</v>
      </c>
      <c r="B952" s="1">
        <f t="shared" si="56"/>
        <v>0.45255642641964872</v>
      </c>
      <c r="C952" s="1">
        <f t="shared" si="56"/>
        <v>0.43111263149890433</v>
      </c>
      <c r="D952" s="1">
        <f t="shared" si="56"/>
        <v>0.31216582840050977</v>
      </c>
      <c r="E952" s="1">
        <f t="shared" si="56"/>
        <v>0.30336773500332986</v>
      </c>
      <c r="F952" s="1">
        <f t="shared" si="56"/>
        <v>0.29505670652738658</v>
      </c>
      <c r="G952" s="1">
        <f t="shared" si="56"/>
        <v>0.29380066629582829</v>
      </c>
      <c r="H952" s="1">
        <f t="shared" si="56"/>
        <v>0.33205787132096459</v>
      </c>
      <c r="I952" s="1">
        <f>$A939*I$942+B939</f>
        <v>0.99999711326653451</v>
      </c>
      <c r="J952" s="1">
        <f t="shared" si="56"/>
        <v>0.26406522475236432</v>
      </c>
    </row>
    <row r="953" spans="1:10" ht="16.5" hidden="1" customHeight="1">
      <c r="A953" s="1">
        <f>$A940*A$942</f>
        <v>0.44751031454226953</v>
      </c>
      <c r="B953" s="1">
        <f t="shared" ref="B953:I953" si="57">$A940*B$942</f>
        <v>0.45255665811876722</v>
      </c>
      <c r="C953" s="1">
        <f t="shared" si="57"/>
        <v>0.43111285221926282</v>
      </c>
      <c r="D953" s="1">
        <f t="shared" si="57"/>
        <v>0.31216598822267344</v>
      </c>
      <c r="E953" s="1">
        <f t="shared" si="57"/>
        <v>0.30336789032105971</v>
      </c>
      <c r="F953" s="1">
        <f t="shared" si="57"/>
        <v>0.29505685759004929</v>
      </c>
      <c r="G953" s="1">
        <f t="shared" si="57"/>
        <v>0.29380081671542552</v>
      </c>
      <c r="H953" s="1">
        <f t="shared" si="57"/>
        <v>0.33205804132742467</v>
      </c>
      <c r="I953" s="1">
        <f t="shared" si="57"/>
        <v>0.26406522475236432</v>
      </c>
      <c r="J953" s="1">
        <f>$A940*J$942+B940</f>
        <v>0.99999723033604115</v>
      </c>
    </row>
    <row r="954" spans="1:10" ht="16.5" hidden="1" customHeight="1">
      <c r="A954" s="1" t="s">
        <v>61</v>
      </c>
    </row>
    <row r="955" spans="1:10" ht="16.5" hidden="1" customHeight="1">
      <c r="A955" s="1">
        <f t="array" ref="A955:J964">MINVERSE(A944:J953)</f>
        <v>3.1769122628168343</v>
      </c>
      <c r="B955" s="1">
        <v>-1.0475909127180463</v>
      </c>
      <c r="C955" s="1">
        <v>-0.75614454779810658</v>
      </c>
      <c r="D955" s="1">
        <v>-0.25699108979272617</v>
      </c>
      <c r="E955" s="1">
        <v>-0.24188642678436953</v>
      </c>
      <c r="F955" s="1">
        <v>-0.22864881044406199</v>
      </c>
      <c r="G955" s="1">
        <v>-0.22672818557773444</v>
      </c>
      <c r="H955" s="1">
        <v>-0.29614494144866976</v>
      </c>
      <c r="I955" s="1">
        <v>-0.18638628832891099</v>
      </c>
      <c r="J955" s="1">
        <v>-0.18638642258583921</v>
      </c>
    </row>
    <row r="956" spans="1:10" ht="16.5" hidden="1" customHeight="1">
      <c r="A956" s="1">
        <v>-1.0475909127180467</v>
      </c>
      <c r="B956" s="1">
        <v>3.3157299551561765</v>
      </c>
      <c r="C956" s="1">
        <v>-0.823285144417502</v>
      </c>
      <c r="D956" s="1">
        <v>-0.27981018588327877</v>
      </c>
      <c r="E956" s="1">
        <v>-0.26336432946280353</v>
      </c>
      <c r="F956" s="1">
        <v>-0.24895130101181595</v>
      </c>
      <c r="G956" s="1">
        <v>-0.246860137457108</v>
      </c>
      <c r="H956" s="1">
        <v>-0.32244063863061673</v>
      </c>
      <c r="I956" s="1">
        <v>-0.20293614858581396</v>
      </c>
      <c r="J956" s="1">
        <v>-0.20293629476386257</v>
      </c>
    </row>
    <row r="957" spans="1:10" ht="16.5" hidden="1" customHeight="1">
      <c r="A957" s="1">
        <v>-0.75614454779810691</v>
      </c>
      <c r="B957" s="1">
        <v>-0.823285144417502</v>
      </c>
      <c r="C957" s="1">
        <v>2.7823096610617424</v>
      </c>
      <c r="D957" s="1">
        <v>-0.20196523653022583</v>
      </c>
      <c r="E957" s="1">
        <v>-0.19009472055376708</v>
      </c>
      <c r="F957" s="1">
        <v>-0.17969148705091376</v>
      </c>
      <c r="G957" s="1">
        <v>-0.17818209831791668</v>
      </c>
      <c r="H957" s="1">
        <v>-0.23273562984284996</v>
      </c>
      <c r="I957" s="1">
        <v>-0.14647803874718165</v>
      </c>
      <c r="J957" s="1">
        <v>-0.14647814425758007</v>
      </c>
    </row>
    <row r="958" spans="1:10" ht="16.5" hidden="1" customHeight="1">
      <c r="A958" s="1">
        <v>-0.25699108979272628</v>
      </c>
      <c r="B958" s="1">
        <v>-0.27981018588327877</v>
      </c>
      <c r="C958" s="1">
        <v>-0.20196523653022577</v>
      </c>
      <c r="D958" s="1">
        <v>1.5162221303681669</v>
      </c>
      <c r="E958" s="1">
        <v>-6.4607553597014492E-2</v>
      </c>
      <c r="F958" s="1">
        <v>-6.1071803292324769E-2</v>
      </c>
      <c r="G958" s="1">
        <v>-6.0558806859905494E-2</v>
      </c>
      <c r="H958" s="1">
        <v>-7.9099933102844036E-2</v>
      </c>
      <c r="I958" s="1">
        <v>-4.9783537972941098E-2</v>
      </c>
      <c r="J958" s="1">
        <v>-4.9783573832793977E-2</v>
      </c>
    </row>
    <row r="959" spans="1:10" ht="16.5" hidden="1" customHeight="1">
      <c r="A959" s="1">
        <v>-0.24188642678436917</v>
      </c>
      <c r="B959" s="1">
        <v>-0.26336432946280364</v>
      </c>
      <c r="C959" s="1">
        <v>-0.19009472055376717</v>
      </c>
      <c r="D959" s="1">
        <v>-6.460755359701445E-2</v>
      </c>
      <c r="E959" s="1">
        <v>1.4741652234884741</v>
      </c>
      <c r="F959" s="1">
        <v>-5.7482305272034614E-2</v>
      </c>
      <c r="G959" s="1">
        <v>-5.6999460228297445E-2</v>
      </c>
      <c r="H959" s="1">
        <v>-7.4450830931770157E-2</v>
      </c>
      <c r="I959" s="1">
        <v>-4.6857508260971376E-2</v>
      </c>
      <c r="J959" s="1">
        <v>-4.6857542013159746E-2</v>
      </c>
    </row>
    <row r="960" spans="1:10" ht="16.5" hidden="1" customHeight="1">
      <c r="A960" s="1">
        <v>-0.22864881044406199</v>
      </c>
      <c r="B960" s="1">
        <v>-0.24895130101181592</v>
      </c>
      <c r="C960" s="1">
        <v>-0.17969148705091376</v>
      </c>
      <c r="D960" s="1">
        <v>-6.1071803292324797E-2</v>
      </c>
      <c r="E960" s="1">
        <v>-5.7482305272034552E-2</v>
      </c>
      <c r="F960" s="1">
        <v>1.4375053475993169</v>
      </c>
      <c r="G960" s="1">
        <v>-5.388007483682427E-2</v>
      </c>
      <c r="H960" s="1">
        <v>-7.0376391744777569E-2</v>
      </c>
      <c r="I960" s="1">
        <v>-4.4293157192300328E-2</v>
      </c>
      <c r="J960" s="1">
        <v>-4.4293189097347002E-2</v>
      </c>
    </row>
    <row r="961" spans="1:10" ht="16.5" hidden="1" customHeight="1">
      <c r="A961" s="1">
        <v>-0.22672818557773439</v>
      </c>
      <c r="B961" s="1">
        <v>-0.24686013745710789</v>
      </c>
      <c r="C961" s="1">
        <v>-0.17818209831791698</v>
      </c>
      <c r="D961" s="1">
        <v>-6.0558806859905445E-2</v>
      </c>
      <c r="E961" s="1">
        <v>-5.6999460228297466E-2</v>
      </c>
      <c r="F961" s="1">
        <v>-5.3880074836824256E-2</v>
      </c>
      <c r="G961" s="1">
        <v>1.4322073133887974</v>
      </c>
      <c r="H961" s="1">
        <v>-6.9785237792456697E-2</v>
      </c>
      <c r="I961" s="1">
        <v>-4.392109954220149E-2</v>
      </c>
      <c r="J961" s="1">
        <v>-4.3921131179249243E-2</v>
      </c>
    </row>
    <row r="962" spans="1:10" ht="16.5" hidden="1" customHeight="1">
      <c r="A962" s="1">
        <v>-0.29614494144867004</v>
      </c>
      <c r="B962" s="1">
        <v>-0.322440638630617</v>
      </c>
      <c r="C962" s="1">
        <v>-0.23273562984284962</v>
      </c>
      <c r="D962" s="1">
        <v>-7.9099933102844092E-2</v>
      </c>
      <c r="E962" s="1">
        <v>-7.4450830931770115E-2</v>
      </c>
      <c r="F962" s="1">
        <v>-7.0376391744777472E-2</v>
      </c>
      <c r="G962" s="1">
        <v>-6.9785237792456753E-2</v>
      </c>
      <c r="H962" s="1">
        <v>1.6257680444631055</v>
      </c>
      <c r="I962" s="1">
        <v>-5.7368303897209864E-2</v>
      </c>
      <c r="J962" s="1">
        <v>-5.7368345220486935E-2</v>
      </c>
    </row>
    <row r="963" spans="1:10" ht="16.5" hidden="1" customHeight="1">
      <c r="A963" s="1">
        <v>-0.18638628832891099</v>
      </c>
      <c r="B963" s="1">
        <v>-0.20293614858581385</v>
      </c>
      <c r="C963" s="1">
        <v>-0.14647803874718182</v>
      </c>
      <c r="D963" s="1">
        <v>-4.9783537972941147E-2</v>
      </c>
      <c r="E963" s="1">
        <v>-4.6857508260971334E-2</v>
      </c>
      <c r="F963" s="1">
        <v>-4.4293157192300307E-2</v>
      </c>
      <c r="G963" s="1">
        <v>-4.3921099542201497E-2</v>
      </c>
      <c r="H963" s="1">
        <v>-5.7368303897209934E-2</v>
      </c>
      <c r="I963" s="1">
        <v>1.3227149626461043</v>
      </c>
      <c r="J963" s="1">
        <v>-3.6106215020632153E-2</v>
      </c>
    </row>
    <row r="964" spans="1:10" ht="16.5" hidden="1" customHeight="1">
      <c r="A964" s="1">
        <v>-0.18638642258583932</v>
      </c>
      <c r="B964" s="1">
        <v>-0.20293629476386274</v>
      </c>
      <c r="C964" s="1">
        <v>-0.14647814425757988</v>
      </c>
      <c r="D964" s="1">
        <v>-4.9783573832793998E-2</v>
      </c>
      <c r="E964" s="1">
        <v>-4.6857542013159753E-2</v>
      </c>
      <c r="F964" s="1">
        <v>-4.4293189097346961E-2</v>
      </c>
      <c r="G964" s="1">
        <v>-4.3921131179249256E-2</v>
      </c>
      <c r="H964" s="1">
        <v>-5.7368345220486942E-2</v>
      </c>
      <c r="I964" s="1">
        <v>-3.6106215020632146E-2</v>
      </c>
      <c r="J964" s="1">
        <v>1.3227151937230637</v>
      </c>
    </row>
    <row r="965" spans="1:10" ht="16.5" hidden="1" customHeight="1">
      <c r="A965" s="1" t="s">
        <v>54</v>
      </c>
    </row>
    <row r="966" spans="1:10" ht="16.5" hidden="1" customHeight="1">
      <c r="A966" s="1" t="e">
        <f t="array" ref="A966:J975">MMULT(A80:J89,A955:J964)</f>
        <v>#VALUE!</v>
      </c>
      <c r="B966" s="1" t="e">
        <v>#VALUE!</v>
      </c>
      <c r="C966" s="1" t="e">
        <v>#VALUE!</v>
      </c>
      <c r="D966" s="1" t="e">
        <v>#VALUE!</v>
      </c>
      <c r="E966" s="1" t="e">
        <v>#VALUE!</v>
      </c>
      <c r="F966" s="1" t="e">
        <v>#VALUE!</v>
      </c>
      <c r="G966" s="1" t="e">
        <v>#VALUE!</v>
      </c>
      <c r="H966" s="1" t="e">
        <v>#VALUE!</v>
      </c>
      <c r="I966" s="1" t="e">
        <v>#VALUE!</v>
      </c>
      <c r="J966" s="1" t="e">
        <v>#VALUE!</v>
      </c>
    </row>
    <row r="967" spans="1:10" ht="16.5" hidden="1" customHeight="1">
      <c r="A967" s="1" t="e">
        <v>#VALUE!</v>
      </c>
      <c r="B967" s="1" t="e">
        <v>#VALUE!</v>
      </c>
      <c r="C967" s="1" t="e">
        <v>#VALUE!</v>
      </c>
      <c r="D967" s="1" t="e">
        <v>#VALUE!</v>
      </c>
      <c r="E967" s="1" t="e">
        <v>#VALUE!</v>
      </c>
      <c r="F967" s="1" t="e">
        <v>#VALUE!</v>
      </c>
      <c r="G967" s="1" t="e">
        <v>#VALUE!</v>
      </c>
      <c r="H967" s="1" t="e">
        <v>#VALUE!</v>
      </c>
      <c r="I967" s="1" t="e">
        <v>#VALUE!</v>
      </c>
      <c r="J967" s="1" t="e">
        <v>#VALUE!</v>
      </c>
    </row>
    <row r="968" spans="1:10" ht="16.5" hidden="1" customHeight="1">
      <c r="A968" s="1" t="e">
        <v>#VALUE!</v>
      </c>
      <c r="B968" s="1" t="e">
        <v>#VALUE!</v>
      </c>
      <c r="C968" s="1" t="e">
        <v>#VALUE!</v>
      </c>
      <c r="D968" s="1" t="e">
        <v>#VALUE!</v>
      </c>
      <c r="E968" s="1" t="e">
        <v>#VALUE!</v>
      </c>
      <c r="F968" s="1" t="e">
        <v>#VALUE!</v>
      </c>
      <c r="G968" s="1" t="e">
        <v>#VALUE!</v>
      </c>
      <c r="H968" s="1" t="e">
        <v>#VALUE!</v>
      </c>
      <c r="I968" s="1" t="e">
        <v>#VALUE!</v>
      </c>
      <c r="J968" s="1" t="e">
        <v>#VALUE!</v>
      </c>
    </row>
    <row r="969" spans="1:10" ht="16.5" hidden="1" customHeight="1">
      <c r="A969" s="1" t="e">
        <v>#VALUE!</v>
      </c>
      <c r="B969" s="1" t="e">
        <v>#VALUE!</v>
      </c>
      <c r="C969" s="1" t="e">
        <v>#VALUE!</v>
      </c>
      <c r="D969" s="1" t="e">
        <v>#VALUE!</v>
      </c>
      <c r="E969" s="1" t="e">
        <v>#VALUE!</v>
      </c>
      <c r="F969" s="1" t="e">
        <v>#VALUE!</v>
      </c>
      <c r="G969" s="1" t="e">
        <v>#VALUE!</v>
      </c>
      <c r="H969" s="1" t="e">
        <v>#VALUE!</v>
      </c>
      <c r="I969" s="1" t="e">
        <v>#VALUE!</v>
      </c>
      <c r="J969" s="1" t="e">
        <v>#VALUE!</v>
      </c>
    </row>
    <row r="970" spans="1:10" ht="16.5" hidden="1" customHeight="1">
      <c r="A970" s="1" t="e">
        <v>#VALUE!</v>
      </c>
      <c r="B970" s="1" t="e">
        <v>#VALUE!</v>
      </c>
      <c r="C970" s="1" t="e">
        <v>#VALUE!</v>
      </c>
      <c r="D970" s="1" t="e">
        <v>#VALUE!</v>
      </c>
      <c r="E970" s="1" t="e">
        <v>#VALUE!</v>
      </c>
      <c r="F970" s="1" t="e">
        <v>#VALUE!</v>
      </c>
      <c r="G970" s="1" t="e">
        <v>#VALUE!</v>
      </c>
      <c r="H970" s="1" t="e">
        <v>#VALUE!</v>
      </c>
      <c r="I970" s="1" t="e">
        <v>#VALUE!</v>
      </c>
      <c r="J970" s="1" t="e">
        <v>#VALUE!</v>
      </c>
    </row>
    <row r="971" spans="1:10" ht="16.5" hidden="1" customHeight="1">
      <c r="A971" s="1" t="e">
        <v>#VALUE!</v>
      </c>
      <c r="B971" s="1" t="e">
        <v>#VALUE!</v>
      </c>
      <c r="C971" s="1" t="e">
        <v>#VALUE!</v>
      </c>
      <c r="D971" s="1" t="e">
        <v>#VALUE!</v>
      </c>
      <c r="E971" s="1" t="e">
        <v>#VALUE!</v>
      </c>
      <c r="F971" s="1" t="e">
        <v>#VALUE!</v>
      </c>
      <c r="G971" s="1" t="e">
        <v>#VALUE!</v>
      </c>
      <c r="H971" s="1" t="e">
        <v>#VALUE!</v>
      </c>
      <c r="I971" s="1" t="e">
        <v>#VALUE!</v>
      </c>
      <c r="J971" s="1" t="e">
        <v>#VALUE!</v>
      </c>
    </row>
    <row r="972" spans="1:10" ht="16.5" hidden="1" customHeight="1">
      <c r="A972" s="1" t="e">
        <v>#VALUE!</v>
      </c>
      <c r="B972" s="1" t="e">
        <v>#VALUE!</v>
      </c>
      <c r="C972" s="1" t="e">
        <v>#VALUE!</v>
      </c>
      <c r="D972" s="1" t="e">
        <v>#VALUE!</v>
      </c>
      <c r="E972" s="1" t="e">
        <v>#VALUE!</v>
      </c>
      <c r="F972" s="1" t="e">
        <v>#VALUE!</v>
      </c>
      <c r="G972" s="1" t="e">
        <v>#VALUE!</v>
      </c>
      <c r="H972" s="1" t="e">
        <v>#VALUE!</v>
      </c>
      <c r="I972" s="1" t="e">
        <v>#VALUE!</v>
      </c>
      <c r="J972" s="1" t="e">
        <v>#VALUE!</v>
      </c>
    </row>
    <row r="973" spans="1:10" ht="16.5" hidden="1" customHeight="1">
      <c r="A973" s="1" t="e">
        <v>#VALUE!</v>
      </c>
      <c r="B973" s="1" t="e">
        <v>#VALUE!</v>
      </c>
      <c r="C973" s="1" t="e">
        <v>#VALUE!</v>
      </c>
      <c r="D973" s="1" t="e">
        <v>#VALUE!</v>
      </c>
      <c r="E973" s="1" t="e">
        <v>#VALUE!</v>
      </c>
      <c r="F973" s="1" t="e">
        <v>#VALUE!</v>
      </c>
      <c r="G973" s="1" t="e">
        <v>#VALUE!</v>
      </c>
      <c r="H973" s="1" t="e">
        <v>#VALUE!</v>
      </c>
      <c r="I973" s="1" t="e">
        <v>#VALUE!</v>
      </c>
      <c r="J973" s="1" t="e">
        <v>#VALUE!</v>
      </c>
    </row>
    <row r="974" spans="1:10" ht="16.5" hidden="1" customHeight="1">
      <c r="A974" s="1" t="e">
        <v>#VALUE!</v>
      </c>
      <c r="B974" s="1" t="e">
        <v>#VALUE!</v>
      </c>
      <c r="C974" s="1" t="e">
        <v>#VALUE!</v>
      </c>
      <c r="D974" s="1" t="e">
        <v>#VALUE!</v>
      </c>
      <c r="E974" s="1" t="e">
        <v>#VALUE!</v>
      </c>
      <c r="F974" s="1" t="e">
        <v>#VALUE!</v>
      </c>
      <c r="G974" s="1" t="e">
        <v>#VALUE!</v>
      </c>
      <c r="H974" s="1" t="e">
        <v>#VALUE!</v>
      </c>
      <c r="I974" s="1" t="e">
        <v>#VALUE!</v>
      </c>
      <c r="J974" s="1" t="e">
        <v>#VALUE!</v>
      </c>
    </row>
    <row r="975" spans="1:10" ht="16.5" hidden="1" customHeight="1">
      <c r="A975" s="1" t="e">
        <v>#VALUE!</v>
      </c>
      <c r="B975" s="1" t="e">
        <v>#VALUE!</v>
      </c>
      <c r="C975" s="1" t="e">
        <v>#VALUE!</v>
      </c>
      <c r="D975" s="1" t="e">
        <v>#VALUE!</v>
      </c>
      <c r="E975" s="1" t="e">
        <v>#VALUE!</v>
      </c>
      <c r="F975" s="1" t="e">
        <v>#VALUE!</v>
      </c>
      <c r="G975" s="1" t="e">
        <v>#VALUE!</v>
      </c>
      <c r="H975" s="1" t="e">
        <v>#VALUE!</v>
      </c>
      <c r="I975" s="1" t="e">
        <v>#VALUE!</v>
      </c>
      <c r="J975" s="1" t="e">
        <v>#VALUE!</v>
      </c>
    </row>
    <row r="976" spans="1:10" ht="16.5" hidden="1" customHeight="1">
      <c r="A976" s="1" t="s">
        <v>41</v>
      </c>
    </row>
    <row r="977" spans="1:4" ht="16.5" hidden="1" customHeight="1">
      <c r="A977" s="1" t="e">
        <f>LN(MDETERM(A944:J953))+SUM(A966,B967,C968,D969,E970,F971,G972,H973,I974,J975)-LN(MDETERM(A80:J89))-10</f>
        <v>#VALUE!</v>
      </c>
    </row>
    <row r="978" spans="1:4" ht="16.5" hidden="1" customHeight="1">
      <c r="A978" s="1" t="e">
        <f>MIN($A$977)</f>
        <v>#VALUE!</v>
      </c>
    </row>
    <row r="979" spans="1:4" ht="16.5" hidden="1" customHeight="1">
      <c r="A979" s="1">
        <f>COUNT($A$931,$A$932,$A$933,$A$934,$A$935,$A$936,$A$937,$A$938,$A$939,$A$940,$B$931,$B$932,$B$933,$B$934,$B$935,$B$936,$B$937,$B$938,$B$939,$B$940)</f>
        <v>20</v>
      </c>
    </row>
    <row r="980" spans="1:4" ht="16.5" hidden="1" customHeight="1">
      <c r="A980" s="1">
        <f>{32767,32767,0.000001,0.01,FALSE,FALSE,TRUE,1,1,1,0.0001,TRUE}</f>
        <v>32767</v>
      </c>
    </row>
    <row r="981" spans="1:4" ht="16.5" hidden="1" customHeight="1">
      <c r="A981" s="1">
        <f>{0,0,1,100,0,FALSE,TRUE,0.075,0,0,FALSE,30}</f>
        <v>0</v>
      </c>
    </row>
    <row r="982" spans="1:4" ht="16.5" hidden="1" customHeight="1">
      <c r="A982" s="1" t="s">
        <v>73</v>
      </c>
    </row>
    <row r="983" spans="1:4" ht="16.5" hidden="1" customHeight="1">
      <c r="A983" s="1" t="s">
        <v>63</v>
      </c>
      <c r="B983" s="1" t="s">
        <v>52</v>
      </c>
      <c r="C983" s="1" t="s">
        <v>53</v>
      </c>
      <c r="D983" s="1">
        <v>0.6988073736582151</v>
      </c>
    </row>
    <row r="984" spans="1:4" ht="16.5" hidden="1" customHeight="1">
      <c r="B984" s="1">
        <v>0.38318538747786313</v>
      </c>
    </row>
    <row r="985" spans="1:4" ht="16.5" hidden="1" customHeight="1">
      <c r="B985" s="1">
        <v>0.3697344030048374</v>
      </c>
    </row>
    <row r="986" spans="1:4" ht="16.5" hidden="1" customHeight="1">
      <c r="B986" s="1">
        <v>0.41186996461277142</v>
      </c>
    </row>
    <row r="987" spans="1:4" ht="16.5" hidden="1" customHeight="1">
      <c r="B987" s="1">
        <v>0.54787870766823465</v>
      </c>
    </row>
    <row r="988" spans="1:4" ht="16.5" hidden="1" customHeight="1">
      <c r="B988" s="1">
        <v>0.56071423448957514</v>
      </c>
    </row>
    <row r="989" spans="1:4" ht="16.5" hidden="1" customHeight="1">
      <c r="B989" s="1">
        <v>0.62978274097024989</v>
      </c>
    </row>
    <row r="990" spans="1:4" ht="16.5" hidden="1" customHeight="1">
      <c r="B990" s="1">
        <v>0.58655989064038361</v>
      </c>
    </row>
    <row r="991" spans="1:4" ht="16.5" hidden="1" customHeight="1">
      <c r="B991" s="1">
        <v>0.55115625613353325</v>
      </c>
    </row>
    <row r="992" spans="1:4" ht="16.5" hidden="1" customHeight="1">
      <c r="B992" s="1">
        <v>0.64810515112607459</v>
      </c>
    </row>
    <row r="993" spans="1:10" ht="16.5" hidden="1" customHeight="1">
      <c r="B993" s="1">
        <v>0.64810511783502434</v>
      </c>
    </row>
    <row r="994" spans="1:10" ht="16.5" hidden="1" customHeight="1">
      <c r="A994" s="1" t="s">
        <v>69</v>
      </c>
    </row>
    <row r="995" spans="1:10" ht="16.5" hidden="1" customHeight="1">
      <c r="A995" s="1">
        <f>$D$983^2+B984</f>
        <v>0.87151713295695532</v>
      </c>
      <c r="B995" s="1">
        <f t="shared" ref="B995:J995" si="58">$D$983^2</f>
        <v>0.48833174547909225</v>
      </c>
      <c r="C995" s="1">
        <f t="shared" si="58"/>
        <v>0.48833174547909225</v>
      </c>
      <c r="D995" s="1">
        <f t="shared" si="58"/>
        <v>0.48833174547909225</v>
      </c>
      <c r="E995" s="1">
        <f t="shared" si="58"/>
        <v>0.48833174547909225</v>
      </c>
      <c r="F995" s="1">
        <f t="shared" si="58"/>
        <v>0.48833174547909225</v>
      </c>
      <c r="G995" s="1">
        <f t="shared" si="58"/>
        <v>0.48833174547909225</v>
      </c>
      <c r="H995" s="1">
        <f t="shared" si="58"/>
        <v>0.48833174547909225</v>
      </c>
      <c r="I995" s="1">
        <f t="shared" si="58"/>
        <v>0.48833174547909225</v>
      </c>
      <c r="J995" s="1">
        <f t="shared" si="58"/>
        <v>0.48833174547909225</v>
      </c>
    </row>
    <row r="996" spans="1:10" ht="16.5" hidden="1" customHeight="1">
      <c r="A996" s="1">
        <f t="shared" ref="A996:J1004" si="59">$D$983^2</f>
        <v>0.48833174547909225</v>
      </c>
      <c r="B996" s="1">
        <f>$D$983^2+B985</f>
        <v>0.85806614848392959</v>
      </c>
      <c r="C996" s="1">
        <f t="shared" si="59"/>
        <v>0.48833174547909225</v>
      </c>
      <c r="D996" s="1">
        <f t="shared" si="59"/>
        <v>0.48833174547909225</v>
      </c>
      <c r="E996" s="1">
        <f t="shared" si="59"/>
        <v>0.48833174547909225</v>
      </c>
      <c r="F996" s="1">
        <f t="shared" si="59"/>
        <v>0.48833174547909225</v>
      </c>
      <c r="G996" s="1">
        <f t="shared" si="59"/>
        <v>0.48833174547909225</v>
      </c>
      <c r="H996" s="1">
        <f t="shared" si="59"/>
        <v>0.48833174547909225</v>
      </c>
      <c r="I996" s="1">
        <f t="shared" si="59"/>
        <v>0.48833174547909225</v>
      </c>
      <c r="J996" s="1">
        <f t="shared" si="59"/>
        <v>0.48833174547909225</v>
      </c>
    </row>
    <row r="997" spans="1:10" ht="16.5" hidden="1" customHeight="1">
      <c r="A997" s="1">
        <f t="shared" si="59"/>
        <v>0.48833174547909225</v>
      </c>
      <c r="B997" s="1">
        <f t="shared" si="59"/>
        <v>0.48833174547909225</v>
      </c>
      <c r="C997" s="1">
        <f>$D$983^2+B986</f>
        <v>0.90020171009186367</v>
      </c>
      <c r="D997" s="1">
        <f t="shared" si="59"/>
        <v>0.48833174547909225</v>
      </c>
      <c r="E997" s="1">
        <f t="shared" si="59"/>
        <v>0.48833174547909225</v>
      </c>
      <c r="F997" s="1">
        <f t="shared" si="59"/>
        <v>0.48833174547909225</v>
      </c>
      <c r="G997" s="1">
        <f t="shared" si="59"/>
        <v>0.48833174547909225</v>
      </c>
      <c r="H997" s="1">
        <f t="shared" si="59"/>
        <v>0.48833174547909225</v>
      </c>
      <c r="I997" s="1">
        <f t="shared" si="59"/>
        <v>0.48833174547909225</v>
      </c>
      <c r="J997" s="1">
        <f t="shared" si="59"/>
        <v>0.48833174547909225</v>
      </c>
    </row>
    <row r="998" spans="1:10" ht="16.5" hidden="1" customHeight="1">
      <c r="A998" s="1">
        <f t="shared" si="59"/>
        <v>0.48833174547909225</v>
      </c>
      <c r="B998" s="1">
        <f t="shared" si="59"/>
        <v>0.48833174547909225</v>
      </c>
      <c r="C998" s="1">
        <f t="shared" si="59"/>
        <v>0.48833174547909225</v>
      </c>
      <c r="D998" s="1">
        <f>$D$983^2+B987</f>
        <v>1.0362104531473268</v>
      </c>
      <c r="E998" s="1">
        <f t="shared" si="59"/>
        <v>0.48833174547909225</v>
      </c>
      <c r="F998" s="1">
        <f t="shared" si="59"/>
        <v>0.48833174547909225</v>
      </c>
      <c r="G998" s="1">
        <f t="shared" si="59"/>
        <v>0.48833174547909225</v>
      </c>
      <c r="H998" s="1">
        <f t="shared" si="59"/>
        <v>0.48833174547909225</v>
      </c>
      <c r="I998" s="1">
        <f t="shared" si="59"/>
        <v>0.48833174547909225</v>
      </c>
      <c r="J998" s="1">
        <f t="shared" si="59"/>
        <v>0.48833174547909225</v>
      </c>
    </row>
    <row r="999" spans="1:10" ht="16.5" hidden="1" customHeight="1">
      <c r="A999" s="1">
        <f t="shared" si="59"/>
        <v>0.48833174547909225</v>
      </c>
      <c r="B999" s="1">
        <f t="shared" si="59"/>
        <v>0.48833174547909225</v>
      </c>
      <c r="C999" s="1">
        <f t="shared" si="59"/>
        <v>0.48833174547909225</v>
      </c>
      <c r="D999" s="1">
        <f t="shared" si="59"/>
        <v>0.48833174547909225</v>
      </c>
      <c r="E999" s="1">
        <f>$D$983^2+B988</f>
        <v>1.0490459799686673</v>
      </c>
      <c r="F999" s="1">
        <f t="shared" si="59"/>
        <v>0.48833174547909225</v>
      </c>
      <c r="G999" s="1">
        <f t="shared" si="59"/>
        <v>0.48833174547909225</v>
      </c>
      <c r="H999" s="1">
        <f t="shared" si="59"/>
        <v>0.48833174547909225</v>
      </c>
      <c r="I999" s="1">
        <f t="shared" si="59"/>
        <v>0.48833174547909225</v>
      </c>
      <c r="J999" s="1">
        <f t="shared" si="59"/>
        <v>0.48833174547909225</v>
      </c>
    </row>
    <row r="1000" spans="1:10" ht="16.5" hidden="1" customHeight="1">
      <c r="A1000" s="1">
        <f t="shared" si="59"/>
        <v>0.48833174547909225</v>
      </c>
      <c r="B1000" s="1">
        <f t="shared" si="59"/>
        <v>0.48833174547909225</v>
      </c>
      <c r="C1000" s="1">
        <f t="shared" si="59"/>
        <v>0.48833174547909225</v>
      </c>
      <c r="D1000" s="1">
        <f t="shared" si="59"/>
        <v>0.48833174547909225</v>
      </c>
      <c r="E1000" s="1">
        <f t="shared" si="59"/>
        <v>0.48833174547909225</v>
      </c>
      <c r="F1000" s="1">
        <f>$D$983^2+B989</f>
        <v>1.1181144864493422</v>
      </c>
      <c r="G1000" s="1">
        <f t="shared" si="59"/>
        <v>0.48833174547909225</v>
      </c>
      <c r="H1000" s="1">
        <f t="shared" si="59"/>
        <v>0.48833174547909225</v>
      </c>
      <c r="I1000" s="1">
        <f t="shared" si="59"/>
        <v>0.48833174547909225</v>
      </c>
      <c r="J1000" s="1">
        <f t="shared" si="59"/>
        <v>0.48833174547909225</v>
      </c>
    </row>
    <row r="1001" spans="1:10" ht="16.5" hidden="1" customHeight="1">
      <c r="A1001" s="1">
        <f t="shared" si="59"/>
        <v>0.48833174547909225</v>
      </c>
      <c r="B1001" s="1">
        <f t="shared" si="59"/>
        <v>0.48833174547909225</v>
      </c>
      <c r="C1001" s="1">
        <f t="shared" si="59"/>
        <v>0.48833174547909225</v>
      </c>
      <c r="D1001" s="1">
        <f t="shared" si="59"/>
        <v>0.48833174547909225</v>
      </c>
      <c r="E1001" s="1">
        <f t="shared" si="59"/>
        <v>0.48833174547909225</v>
      </c>
      <c r="F1001" s="1">
        <f t="shared" si="59"/>
        <v>0.48833174547909225</v>
      </c>
      <c r="G1001" s="1">
        <f>$D$983^2+B990</f>
        <v>1.0748916361194758</v>
      </c>
      <c r="H1001" s="1">
        <f t="shared" si="59"/>
        <v>0.48833174547909225</v>
      </c>
      <c r="I1001" s="1">
        <f t="shared" si="59"/>
        <v>0.48833174547909225</v>
      </c>
      <c r="J1001" s="1">
        <f t="shared" si="59"/>
        <v>0.48833174547909225</v>
      </c>
    </row>
    <row r="1002" spans="1:10" ht="16.5" hidden="1" customHeight="1">
      <c r="A1002" s="1">
        <f t="shared" si="59"/>
        <v>0.48833174547909225</v>
      </c>
      <c r="B1002" s="1">
        <f t="shared" si="59"/>
        <v>0.48833174547909225</v>
      </c>
      <c r="C1002" s="1">
        <f t="shared" si="59"/>
        <v>0.48833174547909225</v>
      </c>
      <c r="D1002" s="1">
        <f t="shared" si="59"/>
        <v>0.48833174547909225</v>
      </c>
      <c r="E1002" s="1">
        <f t="shared" si="59"/>
        <v>0.48833174547909225</v>
      </c>
      <c r="F1002" s="1">
        <f t="shared" si="59"/>
        <v>0.48833174547909225</v>
      </c>
      <c r="G1002" s="1">
        <f t="shared" si="59"/>
        <v>0.48833174547909225</v>
      </c>
      <c r="H1002" s="1">
        <f>$D$983^2+B991</f>
        <v>1.0394880016126256</v>
      </c>
      <c r="I1002" s="1">
        <f t="shared" si="59"/>
        <v>0.48833174547909225</v>
      </c>
      <c r="J1002" s="1">
        <f t="shared" si="59"/>
        <v>0.48833174547909225</v>
      </c>
    </row>
    <row r="1003" spans="1:10" ht="16.5" hidden="1" customHeight="1">
      <c r="A1003" s="1">
        <f t="shared" si="59"/>
        <v>0.48833174547909225</v>
      </c>
      <c r="B1003" s="1">
        <f t="shared" si="59"/>
        <v>0.48833174547909225</v>
      </c>
      <c r="C1003" s="1">
        <f t="shared" si="59"/>
        <v>0.48833174547909225</v>
      </c>
      <c r="D1003" s="1">
        <f t="shared" si="59"/>
        <v>0.48833174547909225</v>
      </c>
      <c r="E1003" s="1">
        <f t="shared" si="59"/>
        <v>0.48833174547909225</v>
      </c>
      <c r="F1003" s="1">
        <f t="shared" si="59"/>
        <v>0.48833174547909225</v>
      </c>
      <c r="G1003" s="1">
        <f t="shared" si="59"/>
        <v>0.48833174547909225</v>
      </c>
      <c r="H1003" s="1">
        <f t="shared" si="59"/>
        <v>0.48833174547909225</v>
      </c>
      <c r="I1003" s="1">
        <f>$D$983^2+B992</f>
        <v>1.1364368966051668</v>
      </c>
      <c r="J1003" s="1">
        <f t="shared" si="59"/>
        <v>0.48833174547909225</v>
      </c>
    </row>
    <row r="1004" spans="1:10" ht="16.5" hidden="1" customHeight="1">
      <c r="A1004" s="1">
        <f t="shared" si="59"/>
        <v>0.48833174547909225</v>
      </c>
      <c r="B1004" s="1">
        <f t="shared" si="59"/>
        <v>0.48833174547909225</v>
      </c>
      <c r="C1004" s="1">
        <f t="shared" si="59"/>
        <v>0.48833174547909225</v>
      </c>
      <c r="D1004" s="1">
        <f t="shared" si="59"/>
        <v>0.48833174547909225</v>
      </c>
      <c r="E1004" s="1">
        <f t="shared" si="59"/>
        <v>0.48833174547909225</v>
      </c>
      <c r="F1004" s="1">
        <f t="shared" si="59"/>
        <v>0.48833174547909225</v>
      </c>
      <c r="G1004" s="1">
        <f t="shared" si="59"/>
        <v>0.48833174547909225</v>
      </c>
      <c r="H1004" s="1">
        <f t="shared" si="59"/>
        <v>0.48833174547909225</v>
      </c>
      <c r="I1004" s="1">
        <f t="shared" si="59"/>
        <v>0.48833174547909225</v>
      </c>
      <c r="J1004" s="1">
        <f>$D$983^2+B993</f>
        <v>1.1364368633141166</v>
      </c>
    </row>
    <row r="1005" spans="1:10" ht="16.5" hidden="1" customHeight="1">
      <c r="A1005" s="1" t="s">
        <v>61</v>
      </c>
    </row>
    <row r="1006" spans="1:10" ht="16.5" hidden="1" customHeight="1">
      <c r="A1006" s="1">
        <f t="array" ref="A1006:J1015">MINVERSE(A995:J1004)</f>
        <v>2.2942790220201315</v>
      </c>
      <c r="B1006" s="1">
        <v>-0.32689899285163854</v>
      </c>
      <c r="C1006" s="1">
        <v>-0.29345622247186159</v>
      </c>
      <c r="D1006" s="1">
        <v>-0.22060686475531538</v>
      </c>
      <c r="E1006" s="1">
        <v>-0.21555686752791059</v>
      </c>
      <c r="F1006" s="1">
        <v>-0.19191666602148541</v>
      </c>
      <c r="G1006" s="1">
        <v>-0.20605876039857832</v>
      </c>
      <c r="H1006" s="1">
        <v>-0.21929498689315413</v>
      </c>
      <c r="I1006" s="1">
        <v>-0.1864910404660112</v>
      </c>
      <c r="J1006" s="1">
        <v>-0.18649105004544889</v>
      </c>
    </row>
    <row r="1007" spans="1:10" ht="16.5" hidden="1" customHeight="1">
      <c r="A1007" s="1">
        <v>-0.32689899285163854</v>
      </c>
      <c r="B1007" s="1">
        <v>2.3658525569950197</v>
      </c>
      <c r="C1007" s="1">
        <v>-0.30413219706308753</v>
      </c>
      <c r="D1007" s="1">
        <v>-0.22863257047366506</v>
      </c>
      <c r="E1007" s="1">
        <v>-0.2233988537066596</v>
      </c>
      <c r="F1007" s="1">
        <v>-0.19889861867125302</v>
      </c>
      <c r="G1007" s="1">
        <v>-0.21355520423536117</v>
      </c>
      <c r="H1007" s="1">
        <v>-0.22727296632849919</v>
      </c>
      <c r="I1007" s="1">
        <v>-0.19327560816996359</v>
      </c>
      <c r="J1007" s="1">
        <v>-0.19327561809790242</v>
      </c>
    </row>
    <row r="1008" spans="1:10" ht="16.5" hidden="1" customHeight="1">
      <c r="A1008" s="1">
        <v>-0.29345622247186137</v>
      </c>
      <c r="B1008" s="1">
        <v>-0.30413219706308747</v>
      </c>
      <c r="C1008" s="1">
        <v>2.1549322357574225</v>
      </c>
      <c r="D1008" s="1">
        <v>-0.20524275673031381</v>
      </c>
      <c r="E1008" s="1">
        <v>-0.20054446525338002</v>
      </c>
      <c r="F1008" s="1">
        <v>-0.17855067946516187</v>
      </c>
      <c r="G1008" s="1">
        <v>-0.19170785133791482</v>
      </c>
      <c r="H1008" s="1">
        <v>-0.20402224426248086</v>
      </c>
      <c r="I1008" s="1">
        <v>-0.17350292019789226</v>
      </c>
      <c r="J1008" s="1">
        <v>-0.17350292911017245</v>
      </c>
    </row>
    <row r="1009" spans="1:10" ht="16.5" hidden="1" customHeight="1">
      <c r="A1009" s="1">
        <v>-0.22060686475531521</v>
      </c>
      <c r="B1009" s="1">
        <v>-0.22863257047366517</v>
      </c>
      <c r="C1009" s="1">
        <v>-0.20524275673031375</v>
      </c>
      <c r="D1009" s="1">
        <v>1.6709294598154276</v>
      </c>
      <c r="E1009" s="1">
        <v>-0.15076008731701573</v>
      </c>
      <c r="F1009" s="1">
        <v>-0.13422617269776091</v>
      </c>
      <c r="G1009" s="1">
        <v>-0.14411712819172101</v>
      </c>
      <c r="H1009" s="1">
        <v>-0.15337452131008991</v>
      </c>
      <c r="I1009" s="1">
        <v>-0.13043149989575978</v>
      </c>
      <c r="J1009" s="1">
        <v>-0.13043150659560135</v>
      </c>
    </row>
    <row r="1010" spans="1:10" ht="16.5" hidden="1" customHeight="1">
      <c r="A1010" s="1">
        <v>-0.21555686752791062</v>
      </c>
      <c r="B1010" s="1">
        <v>-0.22339885370665963</v>
      </c>
      <c r="C1010" s="1">
        <v>-0.20054446525338007</v>
      </c>
      <c r="D1010" s="1">
        <v>-0.15076008731701576</v>
      </c>
      <c r="E1010" s="1">
        <v>1.6361306736361434</v>
      </c>
      <c r="F1010" s="1">
        <v>-0.13115354936520657</v>
      </c>
      <c r="G1010" s="1">
        <v>-0.1408180871641585</v>
      </c>
      <c r="H1010" s="1">
        <v>-0.14986356570936757</v>
      </c>
      <c r="I1010" s="1">
        <v>-0.12744574188877128</v>
      </c>
      <c r="J1010" s="1">
        <v>-0.12744574843524417</v>
      </c>
    </row>
    <row r="1011" spans="1:10" ht="16.5" hidden="1" customHeight="1">
      <c r="A1011" s="1">
        <v>-0.19191666602148541</v>
      </c>
      <c r="B1011" s="1">
        <v>-0.19889861867125294</v>
      </c>
      <c r="C1011" s="1">
        <v>-0.17855067946516195</v>
      </c>
      <c r="D1011" s="1">
        <v>-0.13422617269776091</v>
      </c>
      <c r="E1011" s="1">
        <v>-0.1311535493652066</v>
      </c>
      <c r="F1011" s="1">
        <v>1.4710792749572379</v>
      </c>
      <c r="G1011" s="1">
        <v>-0.12537451538429389</v>
      </c>
      <c r="H1011" s="1">
        <v>-0.13342797294690498</v>
      </c>
      <c r="I1011" s="1">
        <v>-0.11346872016852244</v>
      </c>
      <c r="J1011" s="1">
        <v>-0.11346872599704123</v>
      </c>
    </row>
    <row r="1012" spans="1:10" ht="16.5" hidden="1" customHeight="1">
      <c r="A1012" s="1">
        <v>-0.2060587603985784</v>
      </c>
      <c r="B1012" s="1">
        <v>-0.21355520423536117</v>
      </c>
      <c r="C1012" s="1">
        <v>-0.19170785133791482</v>
      </c>
      <c r="D1012" s="1">
        <v>-0.14411712819172098</v>
      </c>
      <c r="E1012" s="1">
        <v>-0.14081808716415847</v>
      </c>
      <c r="F1012" s="1">
        <v>-0.12537451538429387</v>
      </c>
      <c r="G1012" s="1">
        <v>1.5702425425780564</v>
      </c>
      <c r="H1012" s="1">
        <v>-0.14326011011912995</v>
      </c>
      <c r="I1012" s="1">
        <v>-0.12183008545657693</v>
      </c>
      <c r="J1012" s="1">
        <v>-0.12183009171459185</v>
      </c>
    </row>
    <row r="1013" spans="1:10" ht="16.5" hidden="1" customHeight="1">
      <c r="A1013" s="1">
        <v>-0.21929498689315424</v>
      </c>
      <c r="B1013" s="1">
        <v>-0.22727296632849922</v>
      </c>
      <c r="C1013" s="1">
        <v>-0.20402224426248086</v>
      </c>
      <c r="D1013" s="1">
        <v>-0.15337452131008994</v>
      </c>
      <c r="E1013" s="1">
        <v>-0.1498635657093676</v>
      </c>
      <c r="F1013" s="1">
        <v>-0.13342797294690495</v>
      </c>
      <c r="G1013" s="1">
        <v>-0.14326011011912995</v>
      </c>
      <c r="H1013" s="1">
        <v>1.6619050501233428</v>
      </c>
      <c r="I1013" s="1">
        <v>-0.12965586583998601</v>
      </c>
      <c r="J1013" s="1">
        <v>-0.12965587249998578</v>
      </c>
    </row>
    <row r="1014" spans="1:10" ht="16.5" hidden="1" customHeight="1">
      <c r="A1014" s="1">
        <v>-0.18649104046601128</v>
      </c>
      <c r="B1014" s="1">
        <v>-0.19327560816996359</v>
      </c>
      <c r="C1014" s="1">
        <v>-0.17350292019789224</v>
      </c>
      <c r="D1014" s="1">
        <v>-0.13043149989575981</v>
      </c>
      <c r="E1014" s="1">
        <v>-0.12744574188877128</v>
      </c>
      <c r="F1014" s="1">
        <v>-0.11346872016852244</v>
      </c>
      <c r="G1014" s="1">
        <v>-0.12183008545657695</v>
      </c>
      <c r="H1014" s="1">
        <v>-0.12965586583998601</v>
      </c>
      <c r="I1014" s="1">
        <v>1.4326986242657631</v>
      </c>
      <c r="J1014" s="1">
        <v>-0.11026088150766418</v>
      </c>
    </row>
    <row r="1015" spans="1:10" ht="16.5" hidden="1" customHeight="1">
      <c r="A1015" s="1">
        <v>-0.186491050045449</v>
      </c>
      <c r="B1015" s="1">
        <v>-0.19327561809790242</v>
      </c>
      <c r="C1015" s="1">
        <v>-0.17350292911017245</v>
      </c>
      <c r="D1015" s="1">
        <v>-0.13043150659560138</v>
      </c>
      <c r="E1015" s="1">
        <v>-0.12744574843524417</v>
      </c>
      <c r="F1015" s="1">
        <v>-0.11346872599704125</v>
      </c>
      <c r="G1015" s="1">
        <v>-0.12183009171459186</v>
      </c>
      <c r="H1015" s="1">
        <v>-0.12965587249998575</v>
      </c>
      <c r="I1015" s="1">
        <v>-0.11026088150766419</v>
      </c>
      <c r="J1015" s="1">
        <v>1.4326986921950851</v>
      </c>
    </row>
    <row r="1016" spans="1:10" ht="16.5" hidden="1" customHeight="1">
      <c r="A1016" s="1" t="s">
        <v>54</v>
      </c>
    </row>
    <row r="1017" spans="1:10" ht="16.5" hidden="1" customHeight="1">
      <c r="A1017" s="1" t="e">
        <f t="array" ref="A1017:J1026">MMULT(A80:J89,A1006:J1015)</f>
        <v>#VALUE!</v>
      </c>
      <c r="B1017" s="1" t="e">
        <v>#VALUE!</v>
      </c>
      <c r="C1017" s="1" t="e">
        <v>#VALUE!</v>
      </c>
      <c r="D1017" s="1" t="e">
        <v>#VALUE!</v>
      </c>
      <c r="E1017" s="1" t="e">
        <v>#VALUE!</v>
      </c>
      <c r="F1017" s="1" t="e">
        <v>#VALUE!</v>
      </c>
      <c r="G1017" s="1" t="e">
        <v>#VALUE!</v>
      </c>
      <c r="H1017" s="1" t="e">
        <v>#VALUE!</v>
      </c>
      <c r="I1017" s="1" t="e">
        <v>#VALUE!</v>
      </c>
      <c r="J1017" s="1" t="e">
        <v>#VALUE!</v>
      </c>
    </row>
    <row r="1018" spans="1:10" ht="16.5" hidden="1" customHeight="1">
      <c r="A1018" s="1" t="e">
        <v>#VALUE!</v>
      </c>
      <c r="B1018" s="1" t="e">
        <v>#VALUE!</v>
      </c>
      <c r="C1018" s="1" t="e">
        <v>#VALUE!</v>
      </c>
      <c r="D1018" s="1" t="e">
        <v>#VALUE!</v>
      </c>
      <c r="E1018" s="1" t="e">
        <v>#VALUE!</v>
      </c>
      <c r="F1018" s="1" t="e">
        <v>#VALUE!</v>
      </c>
      <c r="G1018" s="1" t="e">
        <v>#VALUE!</v>
      </c>
      <c r="H1018" s="1" t="e">
        <v>#VALUE!</v>
      </c>
      <c r="I1018" s="1" t="e">
        <v>#VALUE!</v>
      </c>
      <c r="J1018" s="1" t="e">
        <v>#VALUE!</v>
      </c>
    </row>
    <row r="1019" spans="1:10" ht="16.5" hidden="1" customHeight="1">
      <c r="A1019" s="1" t="e">
        <v>#VALUE!</v>
      </c>
      <c r="B1019" s="1" t="e">
        <v>#VALUE!</v>
      </c>
      <c r="C1019" s="1" t="e">
        <v>#VALUE!</v>
      </c>
      <c r="D1019" s="1" t="e">
        <v>#VALUE!</v>
      </c>
      <c r="E1019" s="1" t="e">
        <v>#VALUE!</v>
      </c>
      <c r="F1019" s="1" t="e">
        <v>#VALUE!</v>
      </c>
      <c r="G1019" s="1" t="e">
        <v>#VALUE!</v>
      </c>
      <c r="H1019" s="1" t="e">
        <v>#VALUE!</v>
      </c>
      <c r="I1019" s="1" t="e">
        <v>#VALUE!</v>
      </c>
      <c r="J1019" s="1" t="e">
        <v>#VALUE!</v>
      </c>
    </row>
    <row r="1020" spans="1:10" ht="16.5" hidden="1" customHeight="1">
      <c r="A1020" s="1" t="e">
        <v>#VALUE!</v>
      </c>
      <c r="B1020" s="1" t="e">
        <v>#VALUE!</v>
      </c>
      <c r="C1020" s="1" t="e">
        <v>#VALUE!</v>
      </c>
      <c r="D1020" s="1" t="e">
        <v>#VALUE!</v>
      </c>
      <c r="E1020" s="1" t="e">
        <v>#VALUE!</v>
      </c>
      <c r="F1020" s="1" t="e">
        <v>#VALUE!</v>
      </c>
      <c r="G1020" s="1" t="e">
        <v>#VALUE!</v>
      </c>
      <c r="H1020" s="1" t="e">
        <v>#VALUE!</v>
      </c>
      <c r="I1020" s="1" t="e">
        <v>#VALUE!</v>
      </c>
      <c r="J1020" s="1" t="e">
        <v>#VALUE!</v>
      </c>
    </row>
    <row r="1021" spans="1:10" ht="16.5" hidden="1" customHeight="1">
      <c r="A1021" s="1" t="e">
        <v>#VALUE!</v>
      </c>
      <c r="B1021" s="1" t="e">
        <v>#VALUE!</v>
      </c>
      <c r="C1021" s="1" t="e">
        <v>#VALUE!</v>
      </c>
      <c r="D1021" s="1" t="e">
        <v>#VALUE!</v>
      </c>
      <c r="E1021" s="1" t="e">
        <v>#VALUE!</v>
      </c>
      <c r="F1021" s="1" t="e">
        <v>#VALUE!</v>
      </c>
      <c r="G1021" s="1" t="e">
        <v>#VALUE!</v>
      </c>
      <c r="H1021" s="1" t="e">
        <v>#VALUE!</v>
      </c>
      <c r="I1021" s="1" t="e">
        <v>#VALUE!</v>
      </c>
      <c r="J1021" s="1" t="e">
        <v>#VALUE!</v>
      </c>
    </row>
    <row r="1022" spans="1:10" ht="16.5" hidden="1" customHeight="1">
      <c r="A1022" s="1" t="e">
        <v>#VALUE!</v>
      </c>
      <c r="B1022" s="1" t="e">
        <v>#VALUE!</v>
      </c>
      <c r="C1022" s="1" t="e">
        <v>#VALUE!</v>
      </c>
      <c r="D1022" s="1" t="e">
        <v>#VALUE!</v>
      </c>
      <c r="E1022" s="1" t="e">
        <v>#VALUE!</v>
      </c>
      <c r="F1022" s="1" t="e">
        <v>#VALUE!</v>
      </c>
      <c r="G1022" s="1" t="e">
        <v>#VALUE!</v>
      </c>
      <c r="H1022" s="1" t="e">
        <v>#VALUE!</v>
      </c>
      <c r="I1022" s="1" t="e">
        <v>#VALUE!</v>
      </c>
      <c r="J1022" s="1" t="e">
        <v>#VALUE!</v>
      </c>
    </row>
    <row r="1023" spans="1:10" ht="16.5" hidden="1" customHeight="1">
      <c r="A1023" s="1" t="e">
        <v>#VALUE!</v>
      </c>
      <c r="B1023" s="1" t="e">
        <v>#VALUE!</v>
      </c>
      <c r="C1023" s="1" t="e">
        <v>#VALUE!</v>
      </c>
      <c r="D1023" s="1" t="e">
        <v>#VALUE!</v>
      </c>
      <c r="E1023" s="1" t="e">
        <v>#VALUE!</v>
      </c>
      <c r="F1023" s="1" t="e">
        <v>#VALUE!</v>
      </c>
      <c r="G1023" s="1" t="e">
        <v>#VALUE!</v>
      </c>
      <c r="H1023" s="1" t="e">
        <v>#VALUE!</v>
      </c>
      <c r="I1023" s="1" t="e">
        <v>#VALUE!</v>
      </c>
      <c r="J1023" s="1" t="e">
        <v>#VALUE!</v>
      </c>
    </row>
    <row r="1024" spans="1:10" ht="16.5" hidden="1" customHeight="1">
      <c r="A1024" s="1" t="e">
        <v>#VALUE!</v>
      </c>
      <c r="B1024" s="1" t="e">
        <v>#VALUE!</v>
      </c>
      <c r="C1024" s="1" t="e">
        <v>#VALUE!</v>
      </c>
      <c r="D1024" s="1" t="e">
        <v>#VALUE!</v>
      </c>
      <c r="E1024" s="1" t="e">
        <v>#VALUE!</v>
      </c>
      <c r="F1024" s="1" t="e">
        <v>#VALUE!</v>
      </c>
      <c r="G1024" s="1" t="e">
        <v>#VALUE!</v>
      </c>
      <c r="H1024" s="1" t="e">
        <v>#VALUE!</v>
      </c>
      <c r="I1024" s="1" t="e">
        <v>#VALUE!</v>
      </c>
      <c r="J1024" s="1" t="e">
        <v>#VALUE!</v>
      </c>
    </row>
    <row r="1025" spans="1:10" ht="16.5" hidden="1" customHeight="1">
      <c r="A1025" s="1" t="e">
        <v>#VALUE!</v>
      </c>
      <c r="B1025" s="1" t="e">
        <v>#VALUE!</v>
      </c>
      <c r="C1025" s="1" t="e">
        <v>#VALUE!</v>
      </c>
      <c r="D1025" s="1" t="e">
        <v>#VALUE!</v>
      </c>
      <c r="E1025" s="1" t="e">
        <v>#VALUE!</v>
      </c>
      <c r="F1025" s="1" t="e">
        <v>#VALUE!</v>
      </c>
      <c r="G1025" s="1" t="e">
        <v>#VALUE!</v>
      </c>
      <c r="H1025" s="1" t="e">
        <v>#VALUE!</v>
      </c>
      <c r="I1025" s="1" t="e">
        <v>#VALUE!</v>
      </c>
      <c r="J1025" s="1" t="e">
        <v>#VALUE!</v>
      </c>
    </row>
    <row r="1026" spans="1:10" ht="16.5" hidden="1" customHeight="1">
      <c r="A1026" s="1" t="e">
        <v>#VALUE!</v>
      </c>
      <c r="B1026" s="1" t="e">
        <v>#VALUE!</v>
      </c>
      <c r="C1026" s="1" t="e">
        <v>#VALUE!</v>
      </c>
      <c r="D1026" s="1" t="e">
        <v>#VALUE!</v>
      </c>
      <c r="E1026" s="1" t="e">
        <v>#VALUE!</v>
      </c>
      <c r="F1026" s="1" t="e">
        <v>#VALUE!</v>
      </c>
      <c r="G1026" s="1" t="e">
        <v>#VALUE!</v>
      </c>
      <c r="H1026" s="1" t="e">
        <v>#VALUE!</v>
      </c>
      <c r="I1026" s="1" t="e">
        <v>#VALUE!</v>
      </c>
      <c r="J1026" s="1" t="e">
        <v>#VALUE!</v>
      </c>
    </row>
    <row r="1027" spans="1:10" ht="16.5" hidden="1" customHeight="1">
      <c r="A1027" s="1" t="s">
        <v>41</v>
      </c>
    </row>
    <row r="1028" spans="1:10" ht="16.5" hidden="1" customHeight="1">
      <c r="A1028" s="1" t="e">
        <f>LN(MDETERM(A995:J1004))+SUM(A1017,B1018,C1019,D1020,E1021,F1022,G1023,H1024,I1025,J1026)-LN(MDETERM(A80:J89))-10</f>
        <v>#VALUE!</v>
      </c>
    </row>
    <row r="1029" spans="1:10" ht="16.5" hidden="1" customHeight="1">
      <c r="A1029" s="1" t="e">
        <f>MIN($A$1028)</f>
        <v>#VALUE!</v>
      </c>
    </row>
    <row r="1030" spans="1:10" ht="16.5" hidden="1" customHeight="1">
      <c r="A1030" s="1">
        <f>COUNT($B$984,$B$985,$B$986,$B$987,$B$988,$B$989,$B$990,$B$991,$B$992,$B$993,$D$983)</f>
        <v>11</v>
      </c>
    </row>
    <row r="1031" spans="1:10" ht="16.5" hidden="1" customHeight="1">
      <c r="A1031" s="1">
        <f>{32767,32767,0.000001,0.01,FALSE,FALSE,TRUE,1,1,1,0.0001,TRUE}</f>
        <v>32767</v>
      </c>
    </row>
    <row r="1032" spans="1:10" ht="16.5" hidden="1" customHeight="1">
      <c r="A1032" s="1">
        <f>{0,0,1,100,0,FALSE,TRUE,0.075,0,0,FALSE,30}</f>
        <v>0</v>
      </c>
    </row>
    <row r="1033" spans="1:10" ht="16.5" hidden="1" customHeight="1">
      <c r="A1033" s="1" t="s">
        <v>73</v>
      </c>
    </row>
    <row r="1034" spans="1:10" ht="16.5" hidden="1" customHeight="1">
      <c r="A1034" s="1" t="s">
        <v>45</v>
      </c>
      <c r="B1034" s="1" t="s">
        <v>46</v>
      </c>
      <c r="C1034" s="1" t="s">
        <v>53</v>
      </c>
      <c r="D1034" s="1">
        <v>0.68343888739238479</v>
      </c>
    </row>
    <row r="1035" spans="1:10" ht="16.5" hidden="1" customHeight="1">
      <c r="C1035" s="1" t="s">
        <v>68</v>
      </c>
      <c r="D1035" s="1">
        <v>0.53291089641364586</v>
      </c>
    </row>
    <row r="1036" spans="1:10" ht="16.5" hidden="1" customHeight="1">
      <c r="A1036" s="1" t="s">
        <v>69</v>
      </c>
    </row>
    <row r="1037" spans="1:10" ht="16.5" hidden="1" customHeight="1">
      <c r="A1037" s="1">
        <f>$D$1034^2+$D$1035</f>
        <v>0.99999960921378661</v>
      </c>
      <c r="B1037" s="1">
        <f t="shared" ref="B1037:J1037" si="60">$D$1034^2</f>
        <v>0.4670887128001408</v>
      </c>
      <c r="C1037" s="1">
        <f t="shared" si="60"/>
        <v>0.4670887128001408</v>
      </c>
      <c r="D1037" s="1">
        <f t="shared" si="60"/>
        <v>0.4670887128001408</v>
      </c>
      <c r="E1037" s="1">
        <f t="shared" si="60"/>
        <v>0.4670887128001408</v>
      </c>
      <c r="F1037" s="1">
        <f t="shared" si="60"/>
        <v>0.4670887128001408</v>
      </c>
      <c r="G1037" s="1">
        <f t="shared" si="60"/>
        <v>0.4670887128001408</v>
      </c>
      <c r="H1037" s="1">
        <f t="shared" si="60"/>
        <v>0.4670887128001408</v>
      </c>
      <c r="I1037" s="1">
        <f t="shared" si="60"/>
        <v>0.4670887128001408</v>
      </c>
      <c r="J1037" s="1">
        <f t="shared" si="60"/>
        <v>0.4670887128001408</v>
      </c>
    </row>
    <row r="1038" spans="1:10" ht="16.5" hidden="1" customHeight="1">
      <c r="A1038" s="1">
        <f t="shared" ref="A1038:J1046" si="61">$D$1034^2</f>
        <v>0.4670887128001408</v>
      </c>
      <c r="B1038" s="1">
        <f>$D$1034^2+$D$1035</f>
        <v>0.99999960921378661</v>
      </c>
      <c r="C1038" s="1">
        <f t="shared" si="61"/>
        <v>0.4670887128001408</v>
      </c>
      <c r="D1038" s="1">
        <f t="shared" si="61"/>
        <v>0.4670887128001408</v>
      </c>
      <c r="E1038" s="1">
        <f t="shared" si="61"/>
        <v>0.4670887128001408</v>
      </c>
      <c r="F1038" s="1">
        <f t="shared" si="61"/>
        <v>0.4670887128001408</v>
      </c>
      <c r="G1038" s="1">
        <f t="shared" si="61"/>
        <v>0.4670887128001408</v>
      </c>
      <c r="H1038" s="1">
        <f t="shared" si="61"/>
        <v>0.4670887128001408</v>
      </c>
      <c r="I1038" s="1">
        <f t="shared" si="61"/>
        <v>0.4670887128001408</v>
      </c>
      <c r="J1038" s="1">
        <f t="shared" si="61"/>
        <v>0.4670887128001408</v>
      </c>
    </row>
    <row r="1039" spans="1:10" ht="16.5" hidden="1" customHeight="1">
      <c r="A1039" s="1">
        <f t="shared" si="61"/>
        <v>0.4670887128001408</v>
      </c>
      <c r="B1039" s="1">
        <f t="shared" si="61"/>
        <v>0.4670887128001408</v>
      </c>
      <c r="C1039" s="1">
        <f>$D$1034^2+$D$1035</f>
        <v>0.99999960921378661</v>
      </c>
      <c r="D1039" s="1">
        <f t="shared" si="61"/>
        <v>0.4670887128001408</v>
      </c>
      <c r="E1039" s="1">
        <f t="shared" si="61"/>
        <v>0.4670887128001408</v>
      </c>
      <c r="F1039" s="1">
        <f t="shared" si="61"/>
        <v>0.4670887128001408</v>
      </c>
      <c r="G1039" s="1">
        <f t="shared" si="61"/>
        <v>0.4670887128001408</v>
      </c>
      <c r="H1039" s="1">
        <f t="shared" si="61"/>
        <v>0.4670887128001408</v>
      </c>
      <c r="I1039" s="1">
        <f t="shared" si="61"/>
        <v>0.4670887128001408</v>
      </c>
      <c r="J1039" s="1">
        <f t="shared" si="61"/>
        <v>0.4670887128001408</v>
      </c>
    </row>
    <row r="1040" spans="1:10" ht="16.5" hidden="1" customHeight="1">
      <c r="A1040" s="1">
        <f t="shared" si="61"/>
        <v>0.4670887128001408</v>
      </c>
      <c r="B1040" s="1">
        <f t="shared" si="61"/>
        <v>0.4670887128001408</v>
      </c>
      <c r="C1040" s="1">
        <f t="shared" si="61"/>
        <v>0.4670887128001408</v>
      </c>
      <c r="D1040" s="1">
        <f>$D$1034^2+$D$1035</f>
        <v>0.99999960921378661</v>
      </c>
      <c r="E1040" s="1">
        <f t="shared" si="61"/>
        <v>0.4670887128001408</v>
      </c>
      <c r="F1040" s="1">
        <f t="shared" si="61"/>
        <v>0.4670887128001408</v>
      </c>
      <c r="G1040" s="1">
        <f t="shared" si="61"/>
        <v>0.4670887128001408</v>
      </c>
      <c r="H1040" s="1">
        <f t="shared" si="61"/>
        <v>0.4670887128001408</v>
      </c>
      <c r="I1040" s="1">
        <f t="shared" si="61"/>
        <v>0.4670887128001408</v>
      </c>
      <c r="J1040" s="1">
        <f t="shared" si="61"/>
        <v>0.4670887128001408</v>
      </c>
    </row>
    <row r="1041" spans="1:10" ht="16.5" hidden="1" customHeight="1">
      <c r="A1041" s="1">
        <f t="shared" si="61"/>
        <v>0.4670887128001408</v>
      </c>
      <c r="B1041" s="1">
        <f t="shared" si="61"/>
        <v>0.4670887128001408</v>
      </c>
      <c r="C1041" s="1">
        <f t="shared" si="61"/>
        <v>0.4670887128001408</v>
      </c>
      <c r="D1041" s="1">
        <f t="shared" si="61"/>
        <v>0.4670887128001408</v>
      </c>
      <c r="E1041" s="1">
        <f>$D$1034^2+$D$1035</f>
        <v>0.99999960921378661</v>
      </c>
      <c r="F1041" s="1">
        <f t="shared" si="61"/>
        <v>0.4670887128001408</v>
      </c>
      <c r="G1041" s="1">
        <f t="shared" si="61"/>
        <v>0.4670887128001408</v>
      </c>
      <c r="H1041" s="1">
        <f t="shared" si="61"/>
        <v>0.4670887128001408</v>
      </c>
      <c r="I1041" s="1">
        <f t="shared" si="61"/>
        <v>0.4670887128001408</v>
      </c>
      <c r="J1041" s="1">
        <f t="shared" si="61"/>
        <v>0.4670887128001408</v>
      </c>
    </row>
    <row r="1042" spans="1:10" ht="16.5" hidden="1" customHeight="1">
      <c r="A1042" s="1">
        <f t="shared" si="61"/>
        <v>0.4670887128001408</v>
      </c>
      <c r="B1042" s="1">
        <f t="shared" si="61"/>
        <v>0.4670887128001408</v>
      </c>
      <c r="C1042" s="1">
        <f t="shared" si="61"/>
        <v>0.4670887128001408</v>
      </c>
      <c r="D1042" s="1">
        <f t="shared" si="61"/>
        <v>0.4670887128001408</v>
      </c>
      <c r="E1042" s="1">
        <f t="shared" si="61"/>
        <v>0.4670887128001408</v>
      </c>
      <c r="F1042" s="1">
        <f>$D$1034^2+$D$1035</f>
        <v>0.99999960921378661</v>
      </c>
      <c r="G1042" s="1">
        <f t="shared" si="61"/>
        <v>0.4670887128001408</v>
      </c>
      <c r="H1042" s="1">
        <f t="shared" si="61"/>
        <v>0.4670887128001408</v>
      </c>
      <c r="I1042" s="1">
        <f t="shared" si="61"/>
        <v>0.4670887128001408</v>
      </c>
      <c r="J1042" s="1">
        <f t="shared" si="61"/>
        <v>0.4670887128001408</v>
      </c>
    </row>
    <row r="1043" spans="1:10" ht="16.5" hidden="1" customHeight="1">
      <c r="A1043" s="1">
        <f t="shared" si="61"/>
        <v>0.4670887128001408</v>
      </c>
      <c r="B1043" s="1">
        <f t="shared" si="61"/>
        <v>0.4670887128001408</v>
      </c>
      <c r="C1043" s="1">
        <f t="shared" si="61"/>
        <v>0.4670887128001408</v>
      </c>
      <c r="D1043" s="1">
        <f t="shared" si="61"/>
        <v>0.4670887128001408</v>
      </c>
      <c r="E1043" s="1">
        <f t="shared" si="61"/>
        <v>0.4670887128001408</v>
      </c>
      <c r="F1043" s="1">
        <f t="shared" si="61"/>
        <v>0.4670887128001408</v>
      </c>
      <c r="G1043" s="1">
        <f>$D$1034^2+$D$1035</f>
        <v>0.99999960921378661</v>
      </c>
      <c r="H1043" s="1">
        <f t="shared" si="61"/>
        <v>0.4670887128001408</v>
      </c>
      <c r="I1043" s="1">
        <f t="shared" si="61"/>
        <v>0.4670887128001408</v>
      </c>
      <c r="J1043" s="1">
        <f t="shared" si="61"/>
        <v>0.4670887128001408</v>
      </c>
    </row>
    <row r="1044" spans="1:10" ht="16.5" hidden="1" customHeight="1">
      <c r="A1044" s="1">
        <f t="shared" si="61"/>
        <v>0.4670887128001408</v>
      </c>
      <c r="B1044" s="1">
        <f t="shared" si="61"/>
        <v>0.4670887128001408</v>
      </c>
      <c r="C1044" s="1">
        <f t="shared" si="61"/>
        <v>0.4670887128001408</v>
      </c>
      <c r="D1044" s="1">
        <f t="shared" si="61"/>
        <v>0.4670887128001408</v>
      </c>
      <c r="E1044" s="1">
        <f t="shared" si="61"/>
        <v>0.4670887128001408</v>
      </c>
      <c r="F1044" s="1">
        <f t="shared" si="61"/>
        <v>0.4670887128001408</v>
      </c>
      <c r="G1044" s="1">
        <f t="shared" si="61"/>
        <v>0.4670887128001408</v>
      </c>
      <c r="H1044" s="1">
        <f>$D$1034^2+$D$1035</f>
        <v>0.99999960921378661</v>
      </c>
      <c r="I1044" s="1">
        <f t="shared" si="61"/>
        <v>0.4670887128001408</v>
      </c>
      <c r="J1044" s="1">
        <f t="shared" si="61"/>
        <v>0.4670887128001408</v>
      </c>
    </row>
    <row r="1045" spans="1:10" ht="16.5" hidden="1" customHeight="1">
      <c r="A1045" s="1">
        <f t="shared" si="61"/>
        <v>0.4670887128001408</v>
      </c>
      <c r="B1045" s="1">
        <f t="shared" si="61"/>
        <v>0.4670887128001408</v>
      </c>
      <c r="C1045" s="1">
        <f t="shared" si="61"/>
        <v>0.4670887128001408</v>
      </c>
      <c r="D1045" s="1">
        <f t="shared" si="61"/>
        <v>0.4670887128001408</v>
      </c>
      <c r="E1045" s="1">
        <f t="shared" si="61"/>
        <v>0.4670887128001408</v>
      </c>
      <c r="F1045" s="1">
        <f t="shared" si="61"/>
        <v>0.4670887128001408</v>
      </c>
      <c r="G1045" s="1">
        <f t="shared" si="61"/>
        <v>0.4670887128001408</v>
      </c>
      <c r="H1045" s="1">
        <f t="shared" si="61"/>
        <v>0.4670887128001408</v>
      </c>
      <c r="I1045" s="1">
        <f>$D$1034^2+$D$1035</f>
        <v>0.99999960921378661</v>
      </c>
      <c r="J1045" s="1">
        <f t="shared" si="61"/>
        <v>0.4670887128001408</v>
      </c>
    </row>
    <row r="1046" spans="1:10" ht="16.5" hidden="1" customHeight="1">
      <c r="A1046" s="1">
        <f t="shared" si="61"/>
        <v>0.4670887128001408</v>
      </c>
      <c r="B1046" s="1">
        <f t="shared" si="61"/>
        <v>0.4670887128001408</v>
      </c>
      <c r="C1046" s="1">
        <f t="shared" si="61"/>
        <v>0.4670887128001408</v>
      </c>
      <c r="D1046" s="1">
        <f t="shared" si="61"/>
        <v>0.4670887128001408</v>
      </c>
      <c r="E1046" s="1">
        <f t="shared" si="61"/>
        <v>0.4670887128001408</v>
      </c>
      <c r="F1046" s="1">
        <f t="shared" si="61"/>
        <v>0.4670887128001408</v>
      </c>
      <c r="G1046" s="1">
        <f t="shared" si="61"/>
        <v>0.4670887128001408</v>
      </c>
      <c r="H1046" s="1">
        <f t="shared" si="61"/>
        <v>0.4670887128001408</v>
      </c>
      <c r="I1046" s="1">
        <f t="shared" si="61"/>
        <v>0.4670887128001408</v>
      </c>
      <c r="J1046" s="1">
        <f>$D$1034^2+$D$1035</f>
        <v>0.99999960921378661</v>
      </c>
    </row>
    <row r="1047" spans="1:10" ht="16.5" hidden="1" customHeight="1">
      <c r="A1047" s="1" t="s">
        <v>61</v>
      </c>
    </row>
    <row r="1048" spans="1:10" ht="16.5" hidden="1" customHeight="1">
      <c r="A1048" s="1">
        <f t="array" ref="A1048:J1057">MINVERSE(A1037:J1046)</f>
        <v>1.7080544098824786</v>
      </c>
      <c r="B1048" s="1">
        <v>-0.16843189717137402</v>
      </c>
      <c r="C1048" s="1">
        <v>-0.16843189717137336</v>
      </c>
      <c r="D1048" s="1">
        <v>-0.16843189717137336</v>
      </c>
      <c r="E1048" s="1">
        <v>-0.16843189717137358</v>
      </c>
      <c r="F1048" s="1">
        <v>-0.16843189717137363</v>
      </c>
      <c r="G1048" s="1">
        <v>-0.16843189717137358</v>
      </c>
      <c r="H1048" s="1">
        <v>-0.16843189717137369</v>
      </c>
      <c r="I1048" s="1">
        <v>-0.16843189717137369</v>
      </c>
      <c r="J1048" s="1">
        <v>-0.16843189717137375</v>
      </c>
    </row>
    <row r="1049" spans="1:10" ht="16.5" hidden="1" customHeight="1">
      <c r="A1049" s="1">
        <v>-0.16843189717137366</v>
      </c>
      <c r="B1049" s="1">
        <v>1.7080544098824788</v>
      </c>
      <c r="C1049" s="1">
        <v>-0.1684318971713735</v>
      </c>
      <c r="D1049" s="1">
        <v>-0.16843189717137355</v>
      </c>
      <c r="E1049" s="1">
        <v>-0.16843189717137355</v>
      </c>
      <c r="F1049" s="1">
        <v>-0.16843189717137386</v>
      </c>
      <c r="G1049" s="1">
        <v>-0.16843189717137363</v>
      </c>
      <c r="H1049" s="1">
        <v>-0.16843189717137366</v>
      </c>
      <c r="I1049" s="1">
        <v>-0.16843189717137369</v>
      </c>
      <c r="J1049" s="1">
        <v>-0.16843189717137369</v>
      </c>
    </row>
    <row r="1050" spans="1:10" ht="16.5" hidden="1" customHeight="1">
      <c r="A1050" s="1">
        <v>-0.16843189717137361</v>
      </c>
      <c r="B1050" s="1">
        <v>-0.16843189717137352</v>
      </c>
      <c r="C1050" s="1">
        <v>1.7080544098824773</v>
      </c>
      <c r="D1050" s="1">
        <v>-0.1684318971713733</v>
      </c>
      <c r="E1050" s="1">
        <v>-0.16843189717137347</v>
      </c>
      <c r="F1050" s="1">
        <v>-0.16843189717137361</v>
      </c>
      <c r="G1050" s="1">
        <v>-0.16843189717137358</v>
      </c>
      <c r="H1050" s="1">
        <v>-0.16843189717137361</v>
      </c>
      <c r="I1050" s="1">
        <v>-0.16843189717137361</v>
      </c>
      <c r="J1050" s="1">
        <v>-0.16843189717137361</v>
      </c>
    </row>
    <row r="1051" spans="1:10" ht="16.5" hidden="1" customHeight="1">
      <c r="A1051" s="1">
        <v>-0.16843189717137358</v>
      </c>
      <c r="B1051" s="1">
        <v>-0.16843189717137355</v>
      </c>
      <c r="C1051" s="1">
        <v>-0.16843189717137355</v>
      </c>
      <c r="D1051" s="1">
        <v>1.7080544098824773</v>
      </c>
      <c r="E1051" s="1">
        <v>-0.16843189717137344</v>
      </c>
      <c r="F1051" s="1">
        <v>-0.16843189717137363</v>
      </c>
      <c r="G1051" s="1">
        <v>-0.1684318971713735</v>
      </c>
      <c r="H1051" s="1">
        <v>-0.16843189717137358</v>
      </c>
      <c r="I1051" s="1">
        <v>-0.16843189717137358</v>
      </c>
      <c r="J1051" s="1">
        <v>-0.16843189717137358</v>
      </c>
    </row>
    <row r="1052" spans="1:10" ht="16.5" hidden="1" customHeight="1">
      <c r="A1052" s="1">
        <v>-0.16843189717137358</v>
      </c>
      <c r="B1052" s="1">
        <v>-0.16843189717137358</v>
      </c>
      <c r="C1052" s="1">
        <v>-0.16843189717137358</v>
      </c>
      <c r="D1052" s="1">
        <v>-0.16843189717137358</v>
      </c>
      <c r="E1052" s="1">
        <v>1.7080544098824775</v>
      </c>
      <c r="F1052" s="1">
        <v>-0.16843189717137366</v>
      </c>
      <c r="G1052" s="1">
        <v>-0.1684318971713735</v>
      </c>
      <c r="H1052" s="1">
        <v>-0.16843189717137358</v>
      </c>
      <c r="I1052" s="1">
        <v>-0.16843189717137358</v>
      </c>
      <c r="J1052" s="1">
        <v>-0.16843189717137358</v>
      </c>
    </row>
    <row r="1053" spans="1:10" ht="16.5" hidden="1" customHeight="1">
      <c r="A1053" s="1">
        <v>-0.16843189717137355</v>
      </c>
      <c r="B1053" s="1">
        <v>-0.16843189717137355</v>
      </c>
      <c r="C1053" s="1">
        <v>-0.16843189717137355</v>
      </c>
      <c r="D1053" s="1">
        <v>-0.16843189717137355</v>
      </c>
      <c r="E1053" s="1">
        <v>-0.16843189717137355</v>
      </c>
      <c r="F1053" s="1">
        <v>1.7080544098824786</v>
      </c>
      <c r="G1053" s="1">
        <v>-0.16843189717137347</v>
      </c>
      <c r="H1053" s="1">
        <v>-0.16843189717137352</v>
      </c>
      <c r="I1053" s="1">
        <v>-0.16843189717137355</v>
      </c>
      <c r="J1053" s="1">
        <v>-0.16843189717137355</v>
      </c>
    </row>
    <row r="1054" spans="1:10" ht="16.5" hidden="1" customHeight="1">
      <c r="A1054" s="1">
        <v>-0.16843189717137361</v>
      </c>
      <c r="B1054" s="1">
        <v>-0.16843189717137361</v>
      </c>
      <c r="C1054" s="1">
        <v>-0.16843189717137361</v>
      </c>
      <c r="D1054" s="1">
        <v>-0.16843189717137361</v>
      </c>
      <c r="E1054" s="1">
        <v>-0.16843189717137361</v>
      </c>
      <c r="F1054" s="1">
        <v>-0.16843189717137361</v>
      </c>
      <c r="G1054" s="1">
        <v>1.7080544098824777</v>
      </c>
      <c r="H1054" s="1">
        <v>-0.16843189717137355</v>
      </c>
      <c r="I1054" s="1">
        <v>-0.16843189717137355</v>
      </c>
      <c r="J1054" s="1">
        <v>-0.16843189717137355</v>
      </c>
    </row>
    <row r="1055" spans="1:10" ht="16.5" hidden="1" customHeight="1">
      <c r="A1055" s="1">
        <v>-0.16843189717137361</v>
      </c>
      <c r="B1055" s="1">
        <v>-0.16843189717137355</v>
      </c>
      <c r="C1055" s="1">
        <v>-0.16843189717137355</v>
      </c>
      <c r="D1055" s="1">
        <v>-0.16843189717137355</v>
      </c>
      <c r="E1055" s="1">
        <v>-0.16843189717137355</v>
      </c>
      <c r="F1055" s="1">
        <v>-0.16843189717137355</v>
      </c>
      <c r="G1055" s="1">
        <v>-0.16843189717137358</v>
      </c>
      <c r="H1055" s="1">
        <v>1.7080544098824781</v>
      </c>
      <c r="I1055" s="1">
        <v>-0.16843189717137361</v>
      </c>
      <c r="J1055" s="1">
        <v>-0.16843189717137361</v>
      </c>
    </row>
    <row r="1056" spans="1:10" ht="16.5" hidden="1" customHeight="1">
      <c r="A1056" s="1">
        <v>-0.16843189717137358</v>
      </c>
      <c r="B1056" s="1">
        <v>-0.16843189717137355</v>
      </c>
      <c r="C1056" s="1">
        <v>-0.16843189717137355</v>
      </c>
      <c r="D1056" s="1">
        <v>-0.16843189717137355</v>
      </c>
      <c r="E1056" s="1">
        <v>-0.16843189717137355</v>
      </c>
      <c r="F1056" s="1">
        <v>-0.16843189717137355</v>
      </c>
      <c r="G1056" s="1">
        <v>-0.16843189717137358</v>
      </c>
      <c r="H1056" s="1">
        <v>-0.16843189717137358</v>
      </c>
      <c r="I1056" s="1">
        <v>1.7080544098824781</v>
      </c>
      <c r="J1056" s="1">
        <v>-0.16843189717137358</v>
      </c>
    </row>
    <row r="1057" spans="1:10" ht="16.5" hidden="1" customHeight="1">
      <c r="A1057" s="1">
        <v>-0.16843189717137361</v>
      </c>
      <c r="B1057" s="1">
        <v>-0.16843189717137355</v>
      </c>
      <c r="C1057" s="1">
        <v>-0.16843189717137355</v>
      </c>
      <c r="D1057" s="1">
        <v>-0.16843189717137355</v>
      </c>
      <c r="E1057" s="1">
        <v>-0.16843189717137355</v>
      </c>
      <c r="F1057" s="1">
        <v>-0.16843189717137355</v>
      </c>
      <c r="G1057" s="1">
        <v>-0.16843189717137358</v>
      </c>
      <c r="H1057" s="1">
        <v>-0.16843189717137361</v>
      </c>
      <c r="I1057" s="1">
        <v>-0.16843189717137358</v>
      </c>
      <c r="J1057" s="1">
        <v>1.7080544098824781</v>
      </c>
    </row>
    <row r="1058" spans="1:10" ht="16.5" hidden="1" customHeight="1">
      <c r="A1058" s="1" t="s">
        <v>54</v>
      </c>
    </row>
    <row r="1059" spans="1:10" ht="16.5" hidden="1" customHeight="1">
      <c r="A1059" s="1" t="e">
        <f t="array" ref="A1059:J1068">MMULT(A80:J89,A1048:J1057)</f>
        <v>#VALUE!</v>
      </c>
      <c r="B1059" s="1" t="e">
        <v>#VALUE!</v>
      </c>
      <c r="C1059" s="1" t="e">
        <v>#VALUE!</v>
      </c>
      <c r="D1059" s="1" t="e">
        <v>#VALUE!</v>
      </c>
      <c r="E1059" s="1" t="e">
        <v>#VALUE!</v>
      </c>
      <c r="F1059" s="1" t="e">
        <v>#VALUE!</v>
      </c>
      <c r="G1059" s="1" t="e">
        <v>#VALUE!</v>
      </c>
      <c r="H1059" s="1" t="e">
        <v>#VALUE!</v>
      </c>
      <c r="I1059" s="1" t="e">
        <v>#VALUE!</v>
      </c>
      <c r="J1059" s="1" t="e">
        <v>#VALUE!</v>
      </c>
    </row>
    <row r="1060" spans="1:10" ht="16.5" hidden="1" customHeight="1">
      <c r="A1060" s="1" t="e">
        <v>#VALUE!</v>
      </c>
      <c r="B1060" s="1" t="e">
        <v>#VALUE!</v>
      </c>
      <c r="C1060" s="1" t="e">
        <v>#VALUE!</v>
      </c>
      <c r="D1060" s="1" t="e">
        <v>#VALUE!</v>
      </c>
      <c r="E1060" s="1" t="e">
        <v>#VALUE!</v>
      </c>
      <c r="F1060" s="1" t="e">
        <v>#VALUE!</v>
      </c>
      <c r="G1060" s="1" t="e">
        <v>#VALUE!</v>
      </c>
      <c r="H1060" s="1" t="e">
        <v>#VALUE!</v>
      </c>
      <c r="I1060" s="1" t="e">
        <v>#VALUE!</v>
      </c>
      <c r="J1060" s="1" t="e">
        <v>#VALUE!</v>
      </c>
    </row>
    <row r="1061" spans="1:10" ht="16.5" hidden="1" customHeight="1">
      <c r="A1061" s="1" t="e">
        <v>#VALUE!</v>
      </c>
      <c r="B1061" s="1" t="e">
        <v>#VALUE!</v>
      </c>
      <c r="C1061" s="1" t="e">
        <v>#VALUE!</v>
      </c>
      <c r="D1061" s="1" t="e">
        <v>#VALUE!</v>
      </c>
      <c r="E1061" s="1" t="e">
        <v>#VALUE!</v>
      </c>
      <c r="F1061" s="1" t="e">
        <v>#VALUE!</v>
      </c>
      <c r="G1061" s="1" t="e">
        <v>#VALUE!</v>
      </c>
      <c r="H1061" s="1" t="e">
        <v>#VALUE!</v>
      </c>
      <c r="I1061" s="1" t="e">
        <v>#VALUE!</v>
      </c>
      <c r="J1061" s="1" t="e">
        <v>#VALUE!</v>
      </c>
    </row>
    <row r="1062" spans="1:10" ht="16.5" hidden="1" customHeight="1">
      <c r="A1062" s="1" t="e">
        <v>#VALUE!</v>
      </c>
      <c r="B1062" s="1" t="e">
        <v>#VALUE!</v>
      </c>
      <c r="C1062" s="1" t="e">
        <v>#VALUE!</v>
      </c>
      <c r="D1062" s="1" t="e">
        <v>#VALUE!</v>
      </c>
      <c r="E1062" s="1" t="e">
        <v>#VALUE!</v>
      </c>
      <c r="F1062" s="1" t="e">
        <v>#VALUE!</v>
      </c>
      <c r="G1062" s="1" t="e">
        <v>#VALUE!</v>
      </c>
      <c r="H1062" s="1" t="e">
        <v>#VALUE!</v>
      </c>
      <c r="I1062" s="1" t="e">
        <v>#VALUE!</v>
      </c>
      <c r="J1062" s="1" t="e">
        <v>#VALUE!</v>
      </c>
    </row>
    <row r="1063" spans="1:10" ht="16.5" hidden="1" customHeight="1">
      <c r="A1063" s="1" t="e">
        <v>#VALUE!</v>
      </c>
      <c r="B1063" s="1" t="e">
        <v>#VALUE!</v>
      </c>
      <c r="C1063" s="1" t="e">
        <v>#VALUE!</v>
      </c>
      <c r="D1063" s="1" t="e">
        <v>#VALUE!</v>
      </c>
      <c r="E1063" s="1" t="e">
        <v>#VALUE!</v>
      </c>
      <c r="F1063" s="1" t="e">
        <v>#VALUE!</v>
      </c>
      <c r="G1063" s="1" t="e">
        <v>#VALUE!</v>
      </c>
      <c r="H1063" s="1" t="e">
        <v>#VALUE!</v>
      </c>
      <c r="I1063" s="1" t="e">
        <v>#VALUE!</v>
      </c>
      <c r="J1063" s="1" t="e">
        <v>#VALUE!</v>
      </c>
    </row>
    <row r="1064" spans="1:10" ht="16.5" hidden="1" customHeight="1">
      <c r="A1064" s="1" t="e">
        <v>#VALUE!</v>
      </c>
      <c r="B1064" s="1" t="e">
        <v>#VALUE!</v>
      </c>
      <c r="C1064" s="1" t="e">
        <v>#VALUE!</v>
      </c>
      <c r="D1064" s="1" t="e">
        <v>#VALUE!</v>
      </c>
      <c r="E1064" s="1" t="e">
        <v>#VALUE!</v>
      </c>
      <c r="F1064" s="1" t="e">
        <v>#VALUE!</v>
      </c>
      <c r="G1064" s="1" t="e">
        <v>#VALUE!</v>
      </c>
      <c r="H1064" s="1" t="e">
        <v>#VALUE!</v>
      </c>
      <c r="I1064" s="1" t="e">
        <v>#VALUE!</v>
      </c>
      <c r="J1064" s="1" t="e">
        <v>#VALUE!</v>
      </c>
    </row>
    <row r="1065" spans="1:10" ht="16.5" hidden="1" customHeight="1">
      <c r="A1065" s="1" t="e">
        <v>#VALUE!</v>
      </c>
      <c r="B1065" s="1" t="e">
        <v>#VALUE!</v>
      </c>
      <c r="C1065" s="1" t="e">
        <v>#VALUE!</v>
      </c>
      <c r="D1065" s="1" t="e">
        <v>#VALUE!</v>
      </c>
      <c r="E1065" s="1" t="e">
        <v>#VALUE!</v>
      </c>
      <c r="F1065" s="1" t="e">
        <v>#VALUE!</v>
      </c>
      <c r="G1065" s="1" t="e">
        <v>#VALUE!</v>
      </c>
      <c r="H1065" s="1" t="e">
        <v>#VALUE!</v>
      </c>
      <c r="I1065" s="1" t="e">
        <v>#VALUE!</v>
      </c>
      <c r="J1065" s="1" t="e">
        <v>#VALUE!</v>
      </c>
    </row>
    <row r="1066" spans="1:10" ht="16.5" hidden="1" customHeight="1">
      <c r="A1066" s="1" t="e">
        <v>#VALUE!</v>
      </c>
      <c r="B1066" s="1" t="e">
        <v>#VALUE!</v>
      </c>
      <c r="C1066" s="1" t="e">
        <v>#VALUE!</v>
      </c>
      <c r="D1066" s="1" t="e">
        <v>#VALUE!</v>
      </c>
      <c r="E1066" s="1" t="e">
        <v>#VALUE!</v>
      </c>
      <c r="F1066" s="1" t="e">
        <v>#VALUE!</v>
      </c>
      <c r="G1066" s="1" t="e">
        <v>#VALUE!</v>
      </c>
      <c r="H1066" s="1" t="e">
        <v>#VALUE!</v>
      </c>
      <c r="I1066" s="1" t="e">
        <v>#VALUE!</v>
      </c>
      <c r="J1066" s="1" t="e">
        <v>#VALUE!</v>
      </c>
    </row>
    <row r="1067" spans="1:10" ht="16.5" hidden="1" customHeight="1">
      <c r="A1067" s="1" t="e">
        <v>#VALUE!</v>
      </c>
      <c r="B1067" s="1" t="e">
        <v>#VALUE!</v>
      </c>
      <c r="C1067" s="1" t="e">
        <v>#VALUE!</v>
      </c>
      <c r="D1067" s="1" t="e">
        <v>#VALUE!</v>
      </c>
      <c r="E1067" s="1" t="e">
        <v>#VALUE!</v>
      </c>
      <c r="F1067" s="1" t="e">
        <v>#VALUE!</v>
      </c>
      <c r="G1067" s="1" t="e">
        <v>#VALUE!</v>
      </c>
      <c r="H1067" s="1" t="e">
        <v>#VALUE!</v>
      </c>
      <c r="I1067" s="1" t="e">
        <v>#VALUE!</v>
      </c>
      <c r="J1067" s="1" t="e">
        <v>#VALUE!</v>
      </c>
    </row>
    <row r="1068" spans="1:10" ht="16.5" hidden="1" customHeight="1">
      <c r="A1068" s="1" t="e">
        <v>#VALUE!</v>
      </c>
      <c r="B1068" s="1" t="e">
        <v>#VALUE!</v>
      </c>
      <c r="C1068" s="1" t="e">
        <v>#VALUE!</v>
      </c>
      <c r="D1068" s="1" t="e">
        <v>#VALUE!</v>
      </c>
      <c r="E1068" s="1" t="e">
        <v>#VALUE!</v>
      </c>
      <c r="F1068" s="1" t="e">
        <v>#VALUE!</v>
      </c>
      <c r="G1068" s="1" t="e">
        <v>#VALUE!</v>
      </c>
      <c r="H1068" s="1" t="e">
        <v>#VALUE!</v>
      </c>
      <c r="I1068" s="1" t="e">
        <v>#VALUE!</v>
      </c>
      <c r="J1068" s="1" t="e">
        <v>#VALUE!</v>
      </c>
    </row>
    <row r="1069" spans="1:10" ht="16.5" hidden="1" customHeight="1">
      <c r="A1069" s="1" t="s">
        <v>41</v>
      </c>
    </row>
    <row r="1070" spans="1:10" ht="16.5" hidden="1" customHeight="1">
      <c r="A1070" s="1" t="e">
        <f>LN(MDETERM(A1037:J1046))+SUM(A1059,B1060,C1061,D1062,E1063,F1064,G1065,H1066,I1067,J1068)-LN(MDETERM(A80:J89))-10</f>
        <v>#VALUE!</v>
      </c>
    </row>
    <row r="1071" spans="1:10" ht="16.5" hidden="1" customHeight="1">
      <c r="A1071" s="1" t="e">
        <f>MIN($A$1070)</f>
        <v>#VALUE!</v>
      </c>
    </row>
    <row r="1072" spans="1:10" ht="16.5" hidden="1" customHeight="1">
      <c r="A1072" s="1">
        <f>COUNT($D$1034,$D$1035)</f>
        <v>2</v>
      </c>
    </row>
    <row r="1073" spans="1:10" ht="16.5" hidden="1" customHeight="1">
      <c r="A1073" s="1">
        <f>{32767,32767,0.000001,0.01,FALSE,FALSE,TRUE,1,1,1,0.0001,TRUE}</f>
        <v>32767</v>
      </c>
    </row>
    <row r="1074" spans="1:10" ht="16.5" hidden="1" customHeight="1">
      <c r="A1074" s="1">
        <f>{0,0,1,100,0,FALSE,TRUE,0.075,0,0,FALSE,30}</f>
        <v>0</v>
      </c>
    </row>
    <row r="1075" spans="1:10" ht="16.5" hidden="1" customHeight="1">
      <c r="A1075" s="1" t="s">
        <v>65</v>
      </c>
    </row>
    <row r="1076" spans="1:10" ht="16.5" hidden="1" customHeight="1">
      <c r="A1076" s="1">
        <f>A80</f>
        <v>10</v>
      </c>
      <c r="B1076" s="1">
        <v>0</v>
      </c>
      <c r="C1076" s="1">
        <v>0</v>
      </c>
      <c r="D1076" s="1">
        <v>0</v>
      </c>
      <c r="E1076" s="1">
        <v>0</v>
      </c>
      <c r="F1076" s="1">
        <v>0</v>
      </c>
      <c r="G1076" s="1">
        <v>0</v>
      </c>
      <c r="H1076" s="1">
        <v>0</v>
      </c>
      <c r="I1076" s="1">
        <v>0</v>
      </c>
      <c r="J1076" s="1">
        <v>0</v>
      </c>
    </row>
    <row r="1077" spans="1:10" ht="16.5" hidden="1" customHeight="1">
      <c r="A1077" s="1">
        <v>0</v>
      </c>
      <c r="B1077" s="1">
        <f>B81</f>
        <v>11</v>
      </c>
      <c r="C1077" s="1">
        <v>0</v>
      </c>
      <c r="D1077" s="1">
        <v>0</v>
      </c>
      <c r="E1077" s="1">
        <v>0</v>
      </c>
      <c r="F1077" s="1">
        <v>0</v>
      </c>
      <c r="G1077" s="1">
        <v>0</v>
      </c>
      <c r="H1077" s="1">
        <v>0</v>
      </c>
      <c r="I1077" s="1">
        <v>0</v>
      </c>
      <c r="J1077" s="1">
        <v>0</v>
      </c>
    </row>
    <row r="1078" spans="1:10" ht="16.5" hidden="1" customHeight="1">
      <c r="A1078" s="1">
        <v>0</v>
      </c>
      <c r="B1078" s="1">
        <v>0</v>
      </c>
      <c r="C1078" s="1">
        <f>C82</f>
        <v>12</v>
      </c>
      <c r="D1078" s="1">
        <v>0</v>
      </c>
      <c r="E1078" s="1">
        <v>0</v>
      </c>
      <c r="F1078" s="1">
        <v>0</v>
      </c>
      <c r="G1078" s="1">
        <v>0</v>
      </c>
      <c r="H1078" s="1">
        <v>0</v>
      </c>
      <c r="I1078" s="1">
        <v>0</v>
      </c>
      <c r="J1078" s="1">
        <v>0</v>
      </c>
    </row>
    <row r="1079" spans="1:10" ht="16.5" hidden="1" customHeight="1">
      <c r="A1079" s="1">
        <v>0</v>
      </c>
      <c r="B1079" s="1">
        <v>0</v>
      </c>
      <c r="C1079" s="1">
        <v>0</v>
      </c>
      <c r="D1079" s="1">
        <f>D83</f>
        <v>0</v>
      </c>
      <c r="E1079" s="1">
        <v>0</v>
      </c>
      <c r="F1079" s="1">
        <v>0</v>
      </c>
      <c r="G1079" s="1">
        <v>0</v>
      </c>
      <c r="H1079" s="1">
        <v>0</v>
      </c>
      <c r="I1079" s="1">
        <v>0</v>
      </c>
      <c r="J1079" s="1">
        <v>0</v>
      </c>
    </row>
    <row r="1080" spans="1:10" ht="16.5" hidden="1" customHeight="1">
      <c r="A1080" s="1">
        <v>0</v>
      </c>
      <c r="B1080" s="1">
        <v>0</v>
      </c>
      <c r="C1080" s="1">
        <v>0</v>
      </c>
      <c r="D1080" s="1">
        <v>0</v>
      </c>
      <c r="E1080" s="1">
        <f>E84</f>
        <v>0</v>
      </c>
      <c r="F1080" s="1">
        <v>0</v>
      </c>
      <c r="G1080" s="1">
        <v>0</v>
      </c>
      <c r="H1080" s="1">
        <v>0</v>
      </c>
      <c r="I1080" s="1">
        <v>0</v>
      </c>
      <c r="J1080" s="1">
        <v>0</v>
      </c>
    </row>
    <row r="1081" spans="1:10" ht="16.5" hidden="1" customHeight="1">
      <c r="A1081" s="1">
        <v>0</v>
      </c>
      <c r="B1081" s="1">
        <v>0</v>
      </c>
      <c r="C1081" s="1">
        <v>0</v>
      </c>
      <c r="D1081" s="1">
        <v>0</v>
      </c>
      <c r="E1081" s="1">
        <v>0</v>
      </c>
      <c r="F1081" s="1">
        <f>F85</f>
        <v>0</v>
      </c>
      <c r="G1081" s="1">
        <v>0</v>
      </c>
      <c r="H1081" s="1">
        <v>0</v>
      </c>
      <c r="I1081" s="1">
        <v>0</v>
      </c>
      <c r="J1081" s="1">
        <v>0</v>
      </c>
    </row>
    <row r="1082" spans="1:10" ht="16.5" hidden="1" customHeight="1">
      <c r="A1082" s="1">
        <v>0</v>
      </c>
      <c r="B1082" s="1">
        <v>0</v>
      </c>
      <c r="C1082" s="1">
        <v>0</v>
      </c>
      <c r="D1082" s="1">
        <v>0</v>
      </c>
      <c r="E1082" s="1">
        <v>0</v>
      </c>
      <c r="F1082" s="1">
        <v>0</v>
      </c>
      <c r="G1082" s="1">
        <f>G86</f>
        <v>0</v>
      </c>
      <c r="H1082" s="1">
        <v>0</v>
      </c>
      <c r="I1082" s="1">
        <v>0</v>
      </c>
      <c r="J1082" s="1">
        <v>0</v>
      </c>
    </row>
    <row r="1083" spans="1:10" ht="16.5" hidden="1" customHeight="1">
      <c r="A1083" s="1">
        <v>0</v>
      </c>
      <c r="B1083" s="1">
        <v>0</v>
      </c>
      <c r="C1083" s="1">
        <v>0</v>
      </c>
      <c r="D1083" s="1">
        <v>0</v>
      </c>
      <c r="E1083" s="1">
        <v>0</v>
      </c>
      <c r="F1083" s="1">
        <v>0</v>
      </c>
      <c r="G1083" s="1">
        <v>0</v>
      </c>
      <c r="H1083" s="1">
        <f>H87</f>
        <v>0</v>
      </c>
      <c r="I1083" s="1">
        <v>0</v>
      </c>
      <c r="J1083" s="1">
        <v>0</v>
      </c>
    </row>
    <row r="1084" spans="1:10" ht="16.5" hidden="1" customHeight="1">
      <c r="A1084" s="1">
        <v>0</v>
      </c>
      <c r="B1084" s="1">
        <v>0</v>
      </c>
      <c r="C1084" s="1">
        <v>0</v>
      </c>
      <c r="D1084" s="1">
        <v>0</v>
      </c>
      <c r="E1084" s="1">
        <v>0</v>
      </c>
      <c r="F1084" s="1">
        <v>0</v>
      </c>
      <c r="G1084" s="1">
        <v>0</v>
      </c>
      <c r="H1084" s="1">
        <v>0</v>
      </c>
      <c r="I1084" s="1">
        <f>I88</f>
        <v>0</v>
      </c>
      <c r="J1084" s="1">
        <v>0</v>
      </c>
    </row>
    <row r="1085" spans="1:10" ht="16.5" hidden="1" customHeight="1">
      <c r="A1085" s="1">
        <v>0</v>
      </c>
      <c r="B1085" s="1">
        <v>0</v>
      </c>
      <c r="C1085" s="1">
        <v>0</v>
      </c>
      <c r="D1085" s="1">
        <v>0</v>
      </c>
      <c r="E1085" s="1">
        <v>0</v>
      </c>
      <c r="F1085" s="1">
        <v>0</v>
      </c>
      <c r="G1085" s="1">
        <v>0</v>
      </c>
      <c r="H1085" s="1">
        <v>0</v>
      </c>
      <c r="I1085" s="1">
        <v>0</v>
      </c>
      <c r="J1085" s="1">
        <f>J89</f>
        <v>0</v>
      </c>
    </row>
    <row r="1086" spans="1:10" ht="16.5" hidden="1" customHeight="1">
      <c r="A1086" s="1" t="s">
        <v>41</v>
      </c>
    </row>
    <row r="1087" spans="1:10" ht="16.5" hidden="1" customHeight="1">
      <c r="A1087" s="1" t="e">
        <f>LN(MDETERM(A1076:J1085))-LN(MDETERM(A80:J89))</f>
        <v>#NUM!</v>
      </c>
    </row>
  </sheetData>
  <mergeCells count="4">
    <mergeCell ref="B27:C27"/>
    <mergeCell ref="D27:E27"/>
    <mergeCell ref="F27:G27"/>
    <mergeCell ref="A27:A28"/>
  </mergeCells>
  <phoneticPr fontId="1" type="noConversion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nidimensional">
                <anchor moveWithCells="1" sizeWithCells="1">
                  <from>
                    <xdr:col>1</xdr:col>
                    <xdr:colOff>0</xdr:colOff>
                    <xdr:row>12</xdr:row>
                    <xdr:rowOff>28575</xdr:rowOff>
                  </from>
                  <to>
                    <xdr:col>1</xdr:col>
                    <xdr:colOff>600075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44"/>
  <sheetViews>
    <sheetView workbookViewId="0">
      <selection activeCell="A13" sqref="A13"/>
    </sheetView>
  </sheetViews>
  <sheetFormatPr defaultColWidth="0" defaultRowHeight="15" zeroHeight="1"/>
  <cols>
    <col min="1" max="11" width="12.140625" style="1" customWidth="1"/>
    <col min="12" max="16384" width="0" style="1" hidden="1"/>
  </cols>
  <sheetData>
    <row r="1" spans="1:11">
      <c r="C1" s="1" t="s">
        <v>74</v>
      </c>
    </row>
    <row r="2" spans="1:11" ht="15" customHeight="1">
      <c r="A2" s="35" t="s">
        <v>75</v>
      </c>
      <c r="C2" s="36"/>
      <c r="D2" s="37"/>
      <c r="E2" s="38"/>
    </row>
    <row r="3" spans="1:11">
      <c r="A3" s="120" t="s">
        <v>77</v>
      </c>
      <c r="B3" s="1" t="s">
        <v>78</v>
      </c>
      <c r="C3" s="39"/>
      <c r="D3" s="40"/>
      <c r="E3" s="41"/>
    </row>
    <row r="4" spans="1:11">
      <c r="A4" s="121"/>
      <c r="B4" s="1" t="s">
        <v>79</v>
      </c>
      <c r="C4" s="42"/>
      <c r="D4" s="43"/>
      <c r="E4" s="44"/>
    </row>
    <row r="5" spans="1:11">
      <c r="A5" s="121"/>
      <c r="B5" s="1" t="s">
        <v>80</v>
      </c>
      <c r="C5" s="42"/>
      <c r="D5" s="43"/>
      <c r="E5" s="44"/>
    </row>
    <row r="6" spans="1:11">
      <c r="A6" s="121"/>
      <c r="B6" s="1" t="s">
        <v>81</v>
      </c>
      <c r="C6" s="42"/>
      <c r="D6" s="43"/>
      <c r="E6" s="44"/>
    </row>
    <row r="7" spans="1:11">
      <c r="A7" s="121"/>
      <c r="B7" s="1" t="s">
        <v>82</v>
      </c>
      <c r="C7" s="42"/>
      <c r="D7" s="43"/>
      <c r="E7" s="44"/>
    </row>
    <row r="8" spans="1:11">
      <c r="A8" s="121"/>
      <c r="B8" s="1" t="s">
        <v>83</v>
      </c>
      <c r="C8" s="42"/>
      <c r="D8" s="43"/>
      <c r="E8" s="44"/>
    </row>
    <row r="9" spans="1:11">
      <c r="A9" s="121"/>
      <c r="B9" s="1" t="s">
        <v>84</v>
      </c>
      <c r="C9" s="42"/>
      <c r="D9" s="43"/>
      <c r="E9" s="44"/>
    </row>
    <row r="10" spans="1:11">
      <c r="A10" s="121"/>
      <c r="B10" s="1" t="s">
        <v>85</v>
      </c>
      <c r="C10" s="45"/>
      <c r="D10" s="46"/>
      <c r="E10" s="47"/>
    </row>
    <row r="11" spans="1:11">
      <c r="A11" s="16" t="s">
        <v>86</v>
      </c>
    </row>
    <row r="12" spans="1:11">
      <c r="A12" s="16" t="s">
        <v>87</v>
      </c>
    </row>
    <row r="13" spans="1:11">
      <c r="A13" s="17" t="s">
        <v>238</v>
      </c>
    </row>
    <row r="14" spans="1:11">
      <c r="B14" s="48" t="s">
        <v>88</v>
      </c>
      <c r="C14" s="48" t="s">
        <v>89</v>
      </c>
      <c r="D14" s="48" t="s">
        <v>90</v>
      </c>
      <c r="E14" s="48" t="s">
        <v>91</v>
      </c>
      <c r="F14" s="48" t="s">
        <v>92</v>
      </c>
      <c r="G14" s="48" t="s">
        <v>93</v>
      </c>
      <c r="H14" s="48" t="s">
        <v>94</v>
      </c>
      <c r="I14" s="48" t="s">
        <v>95</v>
      </c>
      <c r="J14" s="48" t="s">
        <v>96</v>
      </c>
      <c r="K14" s="48" t="s">
        <v>97</v>
      </c>
    </row>
    <row r="15" spans="1:11">
      <c r="A15" s="1" t="s">
        <v>98</v>
      </c>
      <c r="B15" s="23"/>
      <c r="C15" s="49"/>
      <c r="D15" s="50"/>
      <c r="E15" s="50"/>
      <c r="F15" s="50"/>
      <c r="G15" s="50"/>
      <c r="H15" s="50"/>
      <c r="I15" s="50"/>
      <c r="J15" s="50"/>
      <c r="K15" s="51"/>
    </row>
    <row r="16" spans="1:11">
      <c r="A16" s="1" t="s">
        <v>99</v>
      </c>
      <c r="B16" s="26"/>
      <c r="C16" s="52"/>
      <c r="D16" s="53"/>
      <c r="E16" s="53"/>
      <c r="F16" s="53"/>
      <c r="G16" s="53"/>
      <c r="H16" s="53"/>
      <c r="I16" s="53"/>
      <c r="J16" s="53"/>
      <c r="K16" s="54"/>
    </row>
    <row r="17" spans="1:11">
      <c r="A17" s="1" t="s">
        <v>100</v>
      </c>
      <c r="B17" s="26"/>
      <c r="C17" s="52"/>
      <c r="D17" s="53"/>
      <c r="E17" s="53"/>
      <c r="F17" s="53"/>
      <c r="G17" s="53"/>
      <c r="H17" s="53"/>
      <c r="I17" s="53"/>
      <c r="J17" s="53"/>
      <c r="K17" s="54"/>
    </row>
    <row r="18" spans="1:11">
      <c r="A18" s="1" t="s">
        <v>101</v>
      </c>
      <c r="B18" s="26"/>
      <c r="C18" s="52"/>
      <c r="D18" s="53"/>
      <c r="E18" s="53"/>
      <c r="F18" s="53"/>
      <c r="G18" s="53"/>
      <c r="H18" s="53"/>
      <c r="I18" s="53"/>
      <c r="J18" s="53"/>
      <c r="K18" s="54"/>
    </row>
    <row r="19" spans="1:11">
      <c r="A19" s="1" t="s">
        <v>102</v>
      </c>
      <c r="B19" s="26"/>
      <c r="C19" s="52"/>
      <c r="D19" s="53"/>
      <c r="E19" s="53"/>
      <c r="F19" s="53"/>
      <c r="G19" s="53"/>
      <c r="H19" s="53"/>
      <c r="I19" s="53"/>
      <c r="J19" s="53"/>
      <c r="K19" s="54"/>
    </row>
    <row r="20" spans="1:11">
      <c r="A20" s="1" t="s">
        <v>103</v>
      </c>
      <c r="B20" s="26"/>
      <c r="C20" s="52"/>
      <c r="D20" s="53"/>
      <c r="E20" s="53"/>
      <c r="F20" s="53"/>
      <c r="G20" s="53"/>
      <c r="H20" s="53"/>
      <c r="I20" s="53"/>
      <c r="J20" s="53"/>
      <c r="K20" s="54"/>
    </row>
    <row r="21" spans="1:11">
      <c r="A21" s="1" t="s">
        <v>104</v>
      </c>
      <c r="B21" s="26"/>
      <c r="C21" s="52"/>
      <c r="D21" s="53"/>
      <c r="E21" s="53"/>
      <c r="F21" s="53"/>
      <c r="G21" s="53"/>
      <c r="H21" s="53"/>
      <c r="I21" s="53"/>
      <c r="J21" s="53"/>
      <c r="K21" s="54"/>
    </row>
    <row r="22" spans="1:11">
      <c r="A22" s="1" t="s">
        <v>105</v>
      </c>
      <c r="B22" s="26"/>
      <c r="C22" s="52"/>
      <c r="D22" s="53"/>
      <c r="E22" s="53"/>
      <c r="F22" s="53"/>
      <c r="G22" s="53"/>
      <c r="H22" s="53"/>
      <c r="I22" s="53"/>
      <c r="J22" s="53"/>
      <c r="K22" s="54"/>
    </row>
    <row r="23" spans="1:11">
      <c r="A23" s="1" t="s">
        <v>106</v>
      </c>
      <c r="B23" s="26"/>
      <c r="C23" s="52"/>
      <c r="D23" s="53"/>
      <c r="E23" s="53"/>
      <c r="F23" s="53"/>
      <c r="G23" s="53"/>
      <c r="H23" s="53"/>
      <c r="I23" s="53"/>
      <c r="J23" s="53"/>
      <c r="K23" s="54"/>
    </row>
    <row r="24" spans="1:11">
      <c r="A24" s="1" t="s">
        <v>107</v>
      </c>
      <c r="B24" s="26"/>
      <c r="C24" s="52"/>
      <c r="D24" s="53"/>
      <c r="E24" s="53"/>
      <c r="F24" s="53"/>
      <c r="G24" s="53"/>
      <c r="H24" s="53"/>
      <c r="I24" s="53"/>
      <c r="J24" s="53"/>
      <c r="K24" s="54"/>
    </row>
    <row r="25" spans="1:11">
      <c r="A25" s="1" t="s">
        <v>108</v>
      </c>
      <c r="B25" s="26"/>
      <c r="C25" s="52"/>
      <c r="D25" s="53"/>
      <c r="E25" s="53"/>
      <c r="F25" s="53"/>
      <c r="G25" s="53"/>
      <c r="H25" s="53"/>
      <c r="I25" s="53"/>
      <c r="J25" s="53"/>
      <c r="K25" s="54"/>
    </row>
    <row r="26" spans="1:11">
      <c r="A26" s="1" t="s">
        <v>109</v>
      </c>
      <c r="B26" s="26"/>
      <c r="C26" s="52"/>
      <c r="D26" s="53"/>
      <c r="E26" s="53"/>
      <c r="F26" s="53"/>
      <c r="G26" s="53"/>
      <c r="H26" s="53"/>
      <c r="I26" s="53"/>
      <c r="J26" s="53"/>
      <c r="K26" s="54"/>
    </row>
    <row r="27" spans="1:11">
      <c r="A27" s="1" t="s">
        <v>110</v>
      </c>
      <c r="B27" s="26"/>
      <c r="C27" s="52"/>
      <c r="D27" s="53"/>
      <c r="E27" s="53"/>
      <c r="F27" s="53"/>
      <c r="G27" s="53"/>
      <c r="H27" s="53"/>
      <c r="I27" s="53"/>
      <c r="J27" s="53"/>
      <c r="K27" s="54"/>
    </row>
    <row r="28" spans="1:11">
      <c r="A28" s="1" t="s">
        <v>111</v>
      </c>
      <c r="B28" s="26"/>
      <c r="C28" s="52"/>
      <c r="D28" s="53"/>
      <c r="E28" s="53"/>
      <c r="F28" s="53"/>
      <c r="G28" s="53"/>
      <c r="H28" s="53"/>
      <c r="I28" s="53"/>
      <c r="J28" s="53"/>
      <c r="K28" s="54"/>
    </row>
    <row r="29" spans="1:11">
      <c r="A29" s="1" t="s">
        <v>112</v>
      </c>
      <c r="B29" s="55"/>
      <c r="C29" s="52"/>
      <c r="D29" s="56"/>
      <c r="E29" s="53"/>
      <c r="F29" s="56"/>
      <c r="G29" s="53"/>
      <c r="H29" s="56"/>
      <c r="I29" s="53"/>
      <c r="J29" s="56"/>
      <c r="K29" s="54"/>
    </row>
    <row r="30" spans="1:11">
      <c r="A30" s="1" t="s">
        <v>113</v>
      </c>
      <c r="B30" s="55"/>
      <c r="C30" s="52"/>
      <c r="D30" s="56"/>
      <c r="E30" s="53"/>
      <c r="F30" s="56"/>
      <c r="G30" s="53"/>
      <c r="H30" s="56"/>
      <c r="I30" s="53"/>
      <c r="J30" s="57"/>
      <c r="K30" s="54"/>
    </row>
    <row r="31" spans="1:11">
      <c r="A31" s="1" t="s">
        <v>114</v>
      </c>
      <c r="B31" s="55"/>
      <c r="C31" s="52"/>
      <c r="D31" s="56"/>
      <c r="E31" s="53"/>
      <c r="F31" s="56"/>
      <c r="G31" s="53"/>
      <c r="H31" s="57"/>
      <c r="I31" s="53"/>
      <c r="J31" s="57"/>
      <c r="K31" s="54"/>
    </row>
    <row r="32" spans="1:11">
      <c r="A32" s="1" t="s">
        <v>115</v>
      </c>
      <c r="B32" s="55"/>
      <c r="C32" s="52"/>
      <c r="D32" s="56"/>
      <c r="E32" s="53"/>
      <c r="F32" s="56"/>
      <c r="G32" s="53"/>
      <c r="H32" s="57"/>
      <c r="I32" s="53"/>
      <c r="J32" s="57"/>
      <c r="K32" s="54"/>
    </row>
    <row r="33" spans="1:11">
      <c r="A33" s="1" t="s">
        <v>116</v>
      </c>
      <c r="B33" s="55"/>
      <c r="C33" s="52"/>
      <c r="D33" s="56"/>
      <c r="E33" s="53"/>
      <c r="F33" s="56"/>
      <c r="G33" s="53"/>
      <c r="H33" s="57"/>
      <c r="I33" s="53"/>
      <c r="J33" s="57"/>
      <c r="K33" s="54"/>
    </row>
    <row r="34" spans="1:11">
      <c r="A34" s="1" t="s">
        <v>117</v>
      </c>
      <c r="B34" s="55"/>
      <c r="C34" s="52"/>
      <c r="D34" s="56"/>
      <c r="E34" s="53"/>
      <c r="F34" s="56"/>
      <c r="G34" s="53"/>
      <c r="H34" s="57"/>
      <c r="I34" s="53"/>
      <c r="J34" s="57"/>
      <c r="K34" s="54"/>
    </row>
    <row r="35" spans="1:11">
      <c r="A35" s="1" t="s">
        <v>118</v>
      </c>
      <c r="B35" s="55"/>
      <c r="C35" s="52"/>
      <c r="D35" s="56"/>
      <c r="E35" s="53"/>
      <c r="F35" s="56"/>
      <c r="G35" s="53"/>
      <c r="H35" s="57"/>
      <c r="I35" s="53"/>
      <c r="J35" s="57"/>
      <c r="K35" s="54"/>
    </row>
    <row r="36" spans="1:11">
      <c r="A36" s="1" t="s">
        <v>119</v>
      </c>
      <c r="B36" s="55"/>
      <c r="C36" s="52"/>
      <c r="D36" s="56"/>
      <c r="E36" s="53"/>
      <c r="F36" s="56"/>
      <c r="G36" s="53"/>
      <c r="H36" s="57"/>
      <c r="I36" s="53"/>
      <c r="J36" s="57"/>
      <c r="K36" s="54"/>
    </row>
    <row r="37" spans="1:11">
      <c r="A37" s="1" t="s">
        <v>120</v>
      </c>
      <c r="B37" s="55"/>
      <c r="C37" s="52"/>
      <c r="D37" s="56"/>
      <c r="E37" s="53"/>
      <c r="F37" s="56"/>
      <c r="G37" s="53"/>
      <c r="H37" s="57"/>
      <c r="I37" s="53"/>
      <c r="J37" s="57"/>
      <c r="K37" s="54"/>
    </row>
    <row r="38" spans="1:11">
      <c r="A38" s="1" t="s">
        <v>121</v>
      </c>
      <c r="B38" s="55"/>
      <c r="C38" s="52"/>
      <c r="D38" s="56"/>
      <c r="E38" s="53"/>
      <c r="F38" s="56"/>
      <c r="G38" s="53"/>
      <c r="H38" s="57"/>
      <c r="I38" s="53"/>
      <c r="J38" s="57"/>
      <c r="K38" s="54"/>
    </row>
    <row r="39" spans="1:11">
      <c r="A39" s="1" t="s">
        <v>122</v>
      </c>
      <c r="B39" s="55"/>
      <c r="C39" s="52"/>
      <c r="D39" s="56"/>
      <c r="E39" s="53"/>
      <c r="F39" s="56"/>
      <c r="G39" s="53"/>
      <c r="H39" s="57"/>
      <c r="I39" s="53"/>
      <c r="J39" s="57"/>
      <c r="K39" s="54"/>
    </row>
    <row r="40" spans="1:11">
      <c r="A40" s="1" t="s">
        <v>123</v>
      </c>
      <c r="B40" s="55"/>
      <c r="C40" s="52"/>
      <c r="D40" s="56"/>
      <c r="E40" s="53"/>
      <c r="F40" s="56"/>
      <c r="G40" s="53"/>
      <c r="H40" s="57"/>
      <c r="I40" s="53"/>
      <c r="J40" s="57"/>
      <c r="K40" s="54"/>
    </row>
    <row r="41" spans="1:11">
      <c r="A41" s="1" t="s">
        <v>124</v>
      </c>
      <c r="B41" s="55"/>
      <c r="C41" s="52"/>
      <c r="D41" s="56"/>
      <c r="E41" s="53"/>
      <c r="F41" s="56"/>
      <c r="G41" s="53"/>
      <c r="H41" s="57"/>
      <c r="I41" s="53"/>
      <c r="J41" s="57"/>
      <c r="K41" s="54"/>
    </row>
    <row r="42" spans="1:11">
      <c r="A42" s="1" t="s">
        <v>125</v>
      </c>
      <c r="B42" s="55"/>
      <c r="C42" s="52"/>
      <c r="D42" s="56"/>
      <c r="E42" s="53"/>
      <c r="F42" s="56"/>
      <c r="G42" s="53"/>
      <c r="H42" s="57"/>
      <c r="I42" s="53"/>
      <c r="J42" s="57"/>
      <c r="K42" s="54"/>
    </row>
    <row r="43" spans="1:11">
      <c r="A43" s="1" t="s">
        <v>126</v>
      </c>
      <c r="B43" s="55"/>
      <c r="C43" s="52"/>
      <c r="D43" s="56"/>
      <c r="E43" s="53"/>
      <c r="F43" s="56"/>
      <c r="G43" s="53"/>
      <c r="H43" s="57"/>
      <c r="I43" s="53"/>
      <c r="J43" s="57"/>
      <c r="K43" s="54"/>
    </row>
    <row r="44" spans="1:11">
      <c r="A44" s="1" t="s">
        <v>127</v>
      </c>
      <c r="B44" s="58"/>
      <c r="C44" s="59"/>
      <c r="D44" s="60"/>
      <c r="E44" s="61"/>
      <c r="F44" s="60"/>
      <c r="G44" s="61"/>
      <c r="H44" s="62"/>
      <c r="I44" s="61"/>
      <c r="J44" s="62"/>
      <c r="K44" s="63"/>
    </row>
  </sheetData>
  <mergeCells count="1">
    <mergeCell ref="A3:A10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iFactor">
                <anchor moveWithCells="1" sizeWithCells="1">
                  <from>
                    <xdr:col>1</xdr:col>
                    <xdr:colOff>295275</xdr:colOff>
                    <xdr:row>11</xdr:row>
                    <xdr:rowOff>19050</xdr:rowOff>
                  </from>
                  <to>
                    <xdr:col>2</xdr:col>
                    <xdr:colOff>209550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44"/>
  <sheetViews>
    <sheetView tabSelected="1" zoomScaleNormal="100" workbookViewId="0">
      <selection activeCell="A13" sqref="A13"/>
    </sheetView>
  </sheetViews>
  <sheetFormatPr defaultColWidth="0" defaultRowHeight="15" zeroHeight="1"/>
  <cols>
    <col min="1" max="12" width="12.140625" style="1" customWidth="1"/>
    <col min="13" max="16384" width="9" style="1" hidden="1"/>
  </cols>
  <sheetData>
    <row r="1" spans="1:12">
      <c r="C1" s="1" t="s">
        <v>128</v>
      </c>
    </row>
    <row r="2" spans="1:12">
      <c r="A2" s="35" t="s">
        <v>75</v>
      </c>
      <c r="C2" s="36"/>
      <c r="D2" s="37"/>
      <c r="E2" s="38"/>
    </row>
    <row r="3" spans="1:12">
      <c r="A3" s="120" t="s">
        <v>76</v>
      </c>
      <c r="B3" s="1" t="s">
        <v>129</v>
      </c>
      <c r="C3" s="39"/>
      <c r="D3" s="40"/>
      <c r="E3" s="41"/>
    </row>
    <row r="4" spans="1:12">
      <c r="A4" s="121"/>
      <c r="B4" s="1" t="s">
        <v>130</v>
      </c>
      <c r="C4" s="42"/>
      <c r="D4" s="43"/>
      <c r="E4" s="44"/>
    </row>
    <row r="5" spans="1:12">
      <c r="A5" s="121"/>
      <c r="B5" s="1" t="s">
        <v>131</v>
      </c>
      <c r="C5" s="42"/>
      <c r="D5" s="43"/>
      <c r="E5" s="44"/>
    </row>
    <row r="6" spans="1:12">
      <c r="A6" s="121"/>
      <c r="B6" s="1" t="s">
        <v>132</v>
      </c>
      <c r="C6" s="42"/>
      <c r="D6" s="43"/>
      <c r="E6" s="44"/>
    </row>
    <row r="7" spans="1:12">
      <c r="A7" s="121"/>
      <c r="B7" s="1" t="s">
        <v>133</v>
      </c>
      <c r="C7" s="42"/>
      <c r="D7" s="43"/>
      <c r="E7" s="44"/>
    </row>
    <row r="8" spans="1:12">
      <c r="A8" s="121"/>
      <c r="B8" s="1" t="s">
        <v>134</v>
      </c>
      <c r="C8" s="42"/>
      <c r="D8" s="43"/>
      <c r="E8" s="44"/>
    </row>
    <row r="9" spans="1:12">
      <c r="A9" s="121"/>
      <c r="B9" s="1" t="s">
        <v>135</v>
      </c>
      <c r="C9" s="42"/>
      <c r="D9" s="43"/>
      <c r="E9" s="44"/>
      <c r="G9" s="122"/>
      <c r="H9" s="116"/>
      <c r="I9" s="116"/>
      <c r="J9" s="116"/>
      <c r="K9" s="116"/>
    </row>
    <row r="10" spans="1:12">
      <c r="A10" s="121"/>
      <c r="B10" s="1" t="s">
        <v>136</v>
      </c>
      <c r="C10" s="67"/>
      <c r="D10" s="68"/>
      <c r="E10" s="69"/>
    </row>
    <row r="11" spans="1:12">
      <c r="A11" s="16" t="s">
        <v>86</v>
      </c>
    </row>
    <row r="12" spans="1:12">
      <c r="A12" s="16" t="s">
        <v>87</v>
      </c>
    </row>
    <row r="13" spans="1:12">
      <c r="A13" s="17" t="s">
        <v>238</v>
      </c>
    </row>
    <row r="14" spans="1:12" s="48" customFormat="1">
      <c r="B14" s="48" t="s">
        <v>137</v>
      </c>
      <c r="D14" s="48" t="s">
        <v>138</v>
      </c>
      <c r="E14" s="48" t="s">
        <v>139</v>
      </c>
      <c r="F14" s="48" t="s">
        <v>140</v>
      </c>
      <c r="G14" s="48" t="s">
        <v>141</v>
      </c>
      <c r="H14" s="48" t="s">
        <v>142</v>
      </c>
      <c r="I14" s="48" t="s">
        <v>143</v>
      </c>
      <c r="J14" s="48" t="s">
        <v>144</v>
      </c>
      <c r="K14" s="48" t="s">
        <v>145</v>
      </c>
      <c r="L14" s="48" t="s">
        <v>146</v>
      </c>
    </row>
    <row r="15" spans="1:12">
      <c r="A15" s="1" t="s">
        <v>147</v>
      </c>
      <c r="B15" s="70"/>
      <c r="C15" s="1" t="s">
        <v>206</v>
      </c>
      <c r="D15" s="71"/>
      <c r="E15" s="50"/>
      <c r="F15" s="50"/>
      <c r="G15" s="50"/>
      <c r="H15" s="50"/>
      <c r="I15" s="72"/>
      <c r="J15" s="72"/>
      <c r="K15" s="72"/>
      <c r="L15" s="73"/>
    </row>
    <row r="16" spans="1:12">
      <c r="A16" s="1" t="s">
        <v>148</v>
      </c>
      <c r="B16" s="74"/>
      <c r="C16" s="1" t="s">
        <v>207</v>
      </c>
      <c r="D16" s="75"/>
      <c r="E16" s="53"/>
      <c r="F16" s="53"/>
      <c r="G16" s="53"/>
      <c r="H16" s="53"/>
      <c r="I16" s="56"/>
      <c r="J16" s="56"/>
      <c r="K16" s="56"/>
      <c r="L16" s="76"/>
    </row>
    <row r="17" spans="1:12">
      <c r="A17" s="1" t="s">
        <v>149</v>
      </c>
      <c r="B17" s="74"/>
      <c r="C17" s="1" t="s">
        <v>208</v>
      </c>
      <c r="D17" s="75"/>
      <c r="E17" s="53"/>
      <c r="F17" s="53"/>
      <c r="G17" s="53"/>
      <c r="H17" s="53"/>
      <c r="I17" s="56"/>
      <c r="J17" s="56"/>
      <c r="K17" s="56"/>
      <c r="L17" s="76"/>
    </row>
    <row r="18" spans="1:12">
      <c r="A18" s="1" t="s">
        <v>150</v>
      </c>
      <c r="B18" s="74"/>
      <c r="C18" s="1" t="s">
        <v>209</v>
      </c>
      <c r="D18" s="75"/>
      <c r="E18" s="53"/>
      <c r="F18" s="53"/>
      <c r="G18" s="53"/>
      <c r="H18" s="53"/>
      <c r="I18" s="56"/>
      <c r="J18" s="56"/>
      <c r="K18" s="56"/>
      <c r="L18" s="76"/>
    </row>
    <row r="19" spans="1:12">
      <c r="A19" s="1" t="s">
        <v>151</v>
      </c>
      <c r="B19" s="74"/>
      <c r="C19" s="1" t="s">
        <v>210</v>
      </c>
      <c r="D19" s="75"/>
      <c r="E19" s="53"/>
      <c r="F19" s="53"/>
      <c r="G19" s="53"/>
      <c r="H19" s="53"/>
      <c r="I19" s="56"/>
      <c r="J19" s="56"/>
      <c r="K19" s="56"/>
      <c r="L19" s="76"/>
    </row>
    <row r="20" spans="1:12">
      <c r="A20" s="1" t="s">
        <v>152</v>
      </c>
      <c r="B20" s="74"/>
      <c r="C20" s="1" t="s">
        <v>211</v>
      </c>
      <c r="D20" s="75"/>
      <c r="E20" s="53"/>
      <c r="F20" s="53"/>
      <c r="G20" s="53"/>
      <c r="H20" s="53"/>
      <c r="I20" s="56"/>
      <c r="J20" s="56"/>
      <c r="K20" s="56"/>
      <c r="L20" s="76"/>
    </row>
    <row r="21" spans="1:12">
      <c r="A21" s="1" t="s">
        <v>153</v>
      </c>
      <c r="B21" s="74"/>
      <c r="C21" s="1" t="s">
        <v>212</v>
      </c>
      <c r="D21" s="75"/>
      <c r="E21" s="53"/>
      <c r="F21" s="53"/>
      <c r="G21" s="53"/>
      <c r="H21" s="53"/>
      <c r="I21" s="56"/>
      <c r="J21" s="56"/>
      <c r="K21" s="56"/>
      <c r="L21" s="76"/>
    </row>
    <row r="22" spans="1:12">
      <c r="A22" s="1" t="s">
        <v>154</v>
      </c>
      <c r="B22" s="77"/>
      <c r="C22" s="1" t="s">
        <v>213</v>
      </c>
      <c r="D22" s="75"/>
      <c r="E22" s="53"/>
      <c r="F22" s="53"/>
      <c r="G22" s="53"/>
      <c r="H22" s="53"/>
      <c r="I22" s="56"/>
      <c r="J22" s="56"/>
      <c r="K22" s="56"/>
      <c r="L22" s="76"/>
    </row>
    <row r="23" spans="1:12">
      <c r="C23" s="1" t="s">
        <v>214</v>
      </c>
      <c r="D23" s="75"/>
      <c r="E23" s="53"/>
      <c r="F23" s="53"/>
      <c r="G23" s="53"/>
      <c r="H23" s="53"/>
      <c r="I23" s="56"/>
      <c r="J23" s="56"/>
      <c r="K23" s="56"/>
      <c r="L23" s="76"/>
    </row>
    <row r="24" spans="1:12">
      <c r="C24" s="1" t="s">
        <v>215</v>
      </c>
      <c r="D24" s="75"/>
      <c r="E24" s="53"/>
      <c r="F24" s="53"/>
      <c r="G24" s="53"/>
      <c r="H24" s="53"/>
      <c r="I24" s="56"/>
      <c r="J24" s="56"/>
      <c r="K24" s="56"/>
      <c r="L24" s="76"/>
    </row>
    <row r="25" spans="1:12">
      <c r="C25" s="1" t="s">
        <v>216</v>
      </c>
      <c r="D25" s="75"/>
      <c r="E25" s="53"/>
      <c r="F25" s="53"/>
      <c r="G25" s="53"/>
      <c r="H25" s="53"/>
      <c r="I25" s="56"/>
      <c r="J25" s="56"/>
      <c r="K25" s="56"/>
      <c r="L25" s="76"/>
    </row>
    <row r="26" spans="1:12">
      <c r="C26" s="1" t="s">
        <v>217</v>
      </c>
      <c r="D26" s="75"/>
      <c r="E26" s="53"/>
      <c r="F26" s="53"/>
      <c r="G26" s="53"/>
      <c r="H26" s="53"/>
      <c r="I26" s="56"/>
      <c r="J26" s="56"/>
      <c r="K26" s="56"/>
      <c r="L26" s="76"/>
    </row>
    <row r="27" spans="1:12">
      <c r="C27" s="1" t="s">
        <v>218</v>
      </c>
      <c r="D27" s="75"/>
      <c r="E27" s="53"/>
      <c r="F27" s="53"/>
      <c r="G27" s="53"/>
      <c r="H27" s="53"/>
      <c r="I27" s="56"/>
      <c r="J27" s="56"/>
      <c r="K27" s="56"/>
      <c r="L27" s="76"/>
    </row>
    <row r="28" spans="1:12">
      <c r="B28" s="1" t="s">
        <v>155</v>
      </c>
      <c r="C28" s="1" t="s">
        <v>219</v>
      </c>
      <c r="D28" s="75"/>
      <c r="E28" s="53"/>
      <c r="F28" s="53"/>
      <c r="G28" s="53"/>
      <c r="H28" s="53"/>
      <c r="I28" s="56"/>
      <c r="J28" s="56"/>
      <c r="K28" s="56"/>
      <c r="L28" s="76"/>
    </row>
    <row r="29" spans="1:12">
      <c r="C29" s="1" t="s">
        <v>220</v>
      </c>
      <c r="D29" s="75"/>
      <c r="E29" s="56"/>
      <c r="F29" s="56"/>
      <c r="G29" s="56"/>
      <c r="H29" s="56"/>
      <c r="I29" s="56"/>
      <c r="J29" s="56"/>
      <c r="K29" s="56"/>
      <c r="L29" s="76"/>
    </row>
    <row r="30" spans="1:12">
      <c r="C30" s="1" t="s">
        <v>221</v>
      </c>
      <c r="D30" s="75"/>
      <c r="E30" s="56"/>
      <c r="F30" s="56"/>
      <c r="G30" s="56"/>
      <c r="H30" s="56"/>
      <c r="I30" s="56"/>
      <c r="J30" s="56"/>
      <c r="K30" s="56"/>
      <c r="L30" s="76"/>
    </row>
    <row r="31" spans="1:12">
      <c r="C31" s="1" t="s">
        <v>222</v>
      </c>
      <c r="D31" s="75"/>
      <c r="E31" s="56"/>
      <c r="F31" s="56"/>
      <c r="G31" s="56"/>
      <c r="H31" s="56"/>
      <c r="I31" s="56"/>
      <c r="J31" s="56"/>
      <c r="K31" s="56"/>
      <c r="L31" s="76"/>
    </row>
    <row r="32" spans="1:12">
      <c r="C32" s="1" t="s">
        <v>223</v>
      </c>
      <c r="D32" s="75"/>
      <c r="E32" s="56"/>
      <c r="F32" s="56"/>
      <c r="G32" s="56"/>
      <c r="H32" s="56"/>
      <c r="I32" s="56"/>
      <c r="J32" s="56"/>
      <c r="K32" s="56"/>
      <c r="L32" s="76"/>
    </row>
    <row r="33" spans="3:12">
      <c r="C33" s="1" t="s">
        <v>224</v>
      </c>
      <c r="D33" s="75"/>
      <c r="E33" s="56"/>
      <c r="F33" s="56"/>
      <c r="G33" s="56"/>
      <c r="H33" s="56"/>
      <c r="I33" s="56"/>
      <c r="J33" s="56"/>
      <c r="K33" s="56"/>
      <c r="L33" s="76"/>
    </row>
    <row r="34" spans="3:12">
      <c r="C34" s="1" t="s">
        <v>225</v>
      </c>
      <c r="D34" s="75"/>
      <c r="E34" s="56"/>
      <c r="F34" s="56"/>
      <c r="G34" s="56"/>
      <c r="H34" s="56"/>
      <c r="I34" s="56"/>
      <c r="J34" s="56"/>
      <c r="K34" s="56"/>
      <c r="L34" s="76"/>
    </row>
    <row r="35" spans="3:12">
      <c r="C35" s="1" t="s">
        <v>226</v>
      </c>
      <c r="D35" s="75"/>
      <c r="E35" s="56"/>
      <c r="F35" s="56"/>
      <c r="G35" s="56"/>
      <c r="H35" s="56"/>
      <c r="I35" s="56"/>
      <c r="J35" s="56"/>
      <c r="K35" s="56"/>
      <c r="L35" s="76"/>
    </row>
    <row r="36" spans="3:12">
      <c r="C36" s="1" t="s">
        <v>227</v>
      </c>
      <c r="D36" s="75"/>
      <c r="E36" s="56"/>
      <c r="F36" s="56"/>
      <c r="G36" s="56"/>
      <c r="H36" s="56"/>
      <c r="I36" s="56"/>
      <c r="J36" s="56"/>
      <c r="K36" s="56"/>
      <c r="L36" s="76"/>
    </row>
    <row r="37" spans="3:12">
      <c r="C37" s="1" t="s">
        <v>228</v>
      </c>
      <c r="D37" s="75"/>
      <c r="E37" s="56"/>
      <c r="F37" s="56"/>
      <c r="G37" s="56"/>
      <c r="H37" s="56"/>
      <c r="I37" s="56"/>
      <c r="J37" s="56"/>
      <c r="K37" s="56"/>
      <c r="L37" s="76"/>
    </row>
    <row r="38" spans="3:12">
      <c r="C38" s="1" t="s">
        <v>229</v>
      </c>
      <c r="D38" s="75"/>
      <c r="E38" s="56"/>
      <c r="F38" s="56"/>
      <c r="G38" s="56"/>
      <c r="H38" s="56"/>
      <c r="I38" s="56"/>
      <c r="J38" s="56"/>
      <c r="K38" s="56"/>
      <c r="L38" s="76"/>
    </row>
    <row r="39" spans="3:12">
      <c r="C39" s="1" t="s">
        <v>230</v>
      </c>
      <c r="D39" s="75"/>
      <c r="E39" s="56"/>
      <c r="F39" s="56"/>
      <c r="G39" s="56"/>
      <c r="H39" s="56"/>
      <c r="I39" s="56"/>
      <c r="J39" s="56"/>
      <c r="K39" s="56"/>
      <c r="L39" s="76"/>
    </row>
    <row r="40" spans="3:12">
      <c r="C40" s="1" t="s">
        <v>231</v>
      </c>
      <c r="D40" s="75"/>
      <c r="E40" s="56"/>
      <c r="F40" s="56"/>
      <c r="G40" s="56"/>
      <c r="H40" s="56"/>
      <c r="I40" s="56"/>
      <c r="J40" s="56"/>
      <c r="K40" s="56"/>
      <c r="L40" s="76"/>
    </row>
    <row r="41" spans="3:12">
      <c r="C41" s="1" t="s">
        <v>232</v>
      </c>
      <c r="D41" s="75"/>
      <c r="E41" s="56"/>
      <c r="F41" s="56"/>
      <c r="G41" s="56"/>
      <c r="H41" s="56"/>
      <c r="I41" s="56"/>
      <c r="J41" s="56"/>
      <c r="K41" s="56"/>
      <c r="L41" s="76"/>
    </row>
    <row r="42" spans="3:12">
      <c r="C42" s="1" t="s">
        <v>233</v>
      </c>
      <c r="D42" s="75"/>
      <c r="E42" s="56"/>
      <c r="F42" s="56"/>
      <c r="G42" s="56"/>
      <c r="H42" s="56"/>
      <c r="I42" s="56"/>
      <c r="J42" s="56"/>
      <c r="K42" s="56"/>
      <c r="L42" s="76"/>
    </row>
    <row r="43" spans="3:12">
      <c r="C43" s="1" t="s">
        <v>234</v>
      </c>
      <c r="D43" s="75"/>
      <c r="E43" s="56"/>
      <c r="F43" s="56"/>
      <c r="G43" s="56"/>
      <c r="H43" s="56"/>
      <c r="I43" s="56"/>
      <c r="J43" s="56"/>
      <c r="K43" s="56"/>
      <c r="L43" s="76"/>
    </row>
    <row r="44" spans="3:12">
      <c r="C44" s="1" t="s">
        <v>235</v>
      </c>
      <c r="D44" s="78"/>
      <c r="E44" s="60"/>
      <c r="F44" s="60"/>
      <c r="G44" s="60"/>
      <c r="H44" s="60"/>
      <c r="I44" s="60"/>
      <c r="J44" s="60"/>
      <c r="K44" s="60"/>
      <c r="L44" s="79"/>
    </row>
  </sheetData>
  <mergeCells count="2">
    <mergeCell ref="A3:A10"/>
    <mergeCell ref="G9:K9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econdOrder">
                <anchor moveWithCells="1" sizeWithCells="1">
                  <from>
                    <xdr:col>1</xdr:col>
                    <xdr:colOff>247650</xdr:colOff>
                    <xdr:row>11</xdr:row>
                    <xdr:rowOff>19050</xdr:rowOff>
                  </from>
                  <to>
                    <xdr:col>2</xdr:col>
                    <xdr:colOff>161925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46"/>
  <sheetViews>
    <sheetView workbookViewId="0">
      <selection activeCell="A6" sqref="A6"/>
    </sheetView>
  </sheetViews>
  <sheetFormatPr defaultColWidth="0" defaultRowHeight="15" zeroHeight="1"/>
  <cols>
    <col min="1" max="10" width="12.140625" style="1" customWidth="1"/>
    <col min="11" max="16384" width="9" style="1" hidden="1"/>
  </cols>
  <sheetData>
    <row r="1" spans="1:10">
      <c r="A1" s="123" t="s">
        <v>156</v>
      </c>
      <c r="B1" s="112"/>
      <c r="C1" s="123" t="s">
        <v>157</v>
      </c>
      <c r="D1" s="112"/>
      <c r="E1" s="112"/>
      <c r="F1" s="112"/>
      <c r="G1" s="112"/>
      <c r="H1" s="112"/>
      <c r="I1" s="112"/>
      <c r="J1" s="112"/>
    </row>
    <row r="2" spans="1:10">
      <c r="A2" s="35"/>
      <c r="C2" s="48" t="s">
        <v>158</v>
      </c>
      <c r="D2" s="48" t="s">
        <v>159</v>
      </c>
      <c r="E2" s="48" t="s">
        <v>160</v>
      </c>
      <c r="F2" s="48" t="s">
        <v>161</v>
      </c>
      <c r="G2" s="48" t="s">
        <v>162</v>
      </c>
      <c r="H2" s="48" t="s">
        <v>163</v>
      </c>
      <c r="I2" s="48" t="s">
        <v>164</v>
      </c>
      <c r="J2" s="48" t="s">
        <v>165</v>
      </c>
    </row>
    <row r="3" spans="1:10">
      <c r="A3" s="64"/>
      <c r="B3" s="65"/>
      <c r="C3" s="80"/>
      <c r="D3" s="80"/>
      <c r="E3" s="80"/>
      <c r="F3" s="80"/>
      <c r="G3" s="65"/>
      <c r="H3" s="65"/>
      <c r="I3" s="65"/>
      <c r="J3" s="66"/>
    </row>
    <row r="4" spans="1:10">
      <c r="A4" s="16" t="s">
        <v>166</v>
      </c>
    </row>
    <row r="5" spans="1:10">
      <c r="A5" s="16" t="s">
        <v>167</v>
      </c>
    </row>
    <row r="6" spans="1:10">
      <c r="A6" s="17" t="s">
        <v>238</v>
      </c>
    </row>
    <row r="7" spans="1:10">
      <c r="A7" s="1" t="s">
        <v>168</v>
      </c>
      <c r="B7" s="48" t="s">
        <v>169</v>
      </c>
      <c r="C7" s="48" t="s">
        <v>159</v>
      </c>
      <c r="D7" s="48" t="s">
        <v>160</v>
      </c>
      <c r="E7" s="48" t="s">
        <v>161</v>
      </c>
      <c r="F7" s="48" t="s">
        <v>162</v>
      </c>
      <c r="G7" s="48" t="s">
        <v>163</v>
      </c>
      <c r="H7" s="48" t="s">
        <v>164</v>
      </c>
      <c r="I7" s="48" t="s">
        <v>165</v>
      </c>
    </row>
    <row r="8" spans="1:10">
      <c r="A8" s="1" t="s">
        <v>169</v>
      </c>
      <c r="B8" s="23"/>
      <c r="C8" s="24"/>
      <c r="D8" s="24"/>
      <c r="E8" s="24"/>
      <c r="F8" s="24"/>
      <c r="G8" s="24"/>
      <c r="H8" s="24"/>
      <c r="I8" s="24"/>
      <c r="J8" s="25"/>
    </row>
    <row r="9" spans="1:10">
      <c r="A9" s="1" t="s">
        <v>170</v>
      </c>
      <c r="B9" s="26"/>
      <c r="C9" s="27"/>
      <c r="D9" s="27"/>
      <c r="E9" s="27"/>
      <c r="F9" s="27"/>
      <c r="G9" s="27"/>
      <c r="H9" s="27"/>
      <c r="I9" s="27"/>
      <c r="J9" s="28"/>
    </row>
    <row r="10" spans="1:10">
      <c r="A10" s="1" t="s">
        <v>160</v>
      </c>
      <c r="B10" s="26"/>
      <c r="C10" s="27"/>
      <c r="D10" s="27"/>
      <c r="E10" s="27"/>
      <c r="F10" s="27"/>
      <c r="G10" s="27"/>
      <c r="H10" s="27"/>
      <c r="I10" s="27"/>
      <c r="J10" s="28"/>
    </row>
    <row r="11" spans="1:10">
      <c r="A11" s="1" t="s">
        <v>161</v>
      </c>
      <c r="B11" s="26"/>
      <c r="C11" s="27"/>
      <c r="D11" s="27"/>
      <c r="E11" s="27"/>
      <c r="F11" s="27"/>
      <c r="G11" s="27"/>
      <c r="H11" s="27"/>
      <c r="I11" s="27"/>
      <c r="J11" s="28"/>
    </row>
    <row r="12" spans="1:10">
      <c r="A12" s="1" t="s">
        <v>162</v>
      </c>
      <c r="B12" s="26"/>
      <c r="C12" s="27"/>
      <c r="D12" s="27"/>
      <c r="E12" s="27"/>
      <c r="F12" s="27"/>
      <c r="G12" s="27"/>
      <c r="H12" s="27"/>
      <c r="I12" s="27"/>
      <c r="J12" s="28"/>
    </row>
    <row r="13" spans="1:10">
      <c r="A13" s="1" t="s">
        <v>163</v>
      </c>
      <c r="B13" s="26"/>
      <c r="C13" s="27"/>
      <c r="D13" s="27"/>
      <c r="E13" s="27"/>
      <c r="F13" s="27"/>
      <c r="G13" s="27"/>
      <c r="H13" s="27"/>
      <c r="I13" s="27"/>
      <c r="J13" s="28"/>
    </row>
    <row r="14" spans="1:10">
      <c r="A14" s="1" t="s">
        <v>164</v>
      </c>
      <c r="B14" s="26"/>
      <c r="C14" s="27"/>
      <c r="D14" s="27"/>
      <c r="E14" s="27"/>
      <c r="F14" s="27"/>
      <c r="G14" s="27"/>
      <c r="H14" s="27"/>
      <c r="I14" s="27"/>
      <c r="J14" s="28"/>
    </row>
    <row r="15" spans="1:10">
      <c r="A15" s="1" t="s">
        <v>165</v>
      </c>
      <c r="B15" s="29"/>
      <c r="C15" s="30"/>
      <c r="D15" s="30"/>
      <c r="E15" s="30"/>
      <c r="F15" s="30"/>
      <c r="G15" s="30"/>
      <c r="H15" s="30"/>
      <c r="I15" s="30"/>
      <c r="J15" s="31"/>
    </row>
    <row r="16" spans="1:10">
      <c r="A16" s="1" t="s">
        <v>171</v>
      </c>
      <c r="B16" s="48" t="s">
        <v>172</v>
      </c>
      <c r="C16" s="48" t="s">
        <v>169</v>
      </c>
      <c r="D16" s="48" t="s">
        <v>170</v>
      </c>
      <c r="E16" s="48" t="s">
        <v>160</v>
      </c>
      <c r="F16" s="48" t="s">
        <v>161</v>
      </c>
      <c r="G16" s="48" t="s">
        <v>162</v>
      </c>
      <c r="H16" s="48" t="s">
        <v>163</v>
      </c>
      <c r="I16" s="48" t="s">
        <v>164</v>
      </c>
      <c r="J16" s="48" t="s">
        <v>165</v>
      </c>
    </row>
    <row r="17" spans="1:10">
      <c r="A17" s="1" t="s">
        <v>173</v>
      </c>
      <c r="B17" s="81"/>
      <c r="C17" s="82"/>
      <c r="D17" s="50"/>
      <c r="E17" s="50"/>
      <c r="F17" s="50"/>
      <c r="G17" s="50"/>
      <c r="H17" s="50"/>
      <c r="I17" s="50"/>
      <c r="J17" s="51"/>
    </row>
    <row r="18" spans="1:10">
      <c r="A18" s="1" t="s">
        <v>174</v>
      </c>
      <c r="B18" s="83"/>
      <c r="C18" s="84"/>
      <c r="D18" s="53"/>
      <c r="E18" s="53"/>
      <c r="F18" s="53"/>
      <c r="G18" s="53"/>
      <c r="H18" s="53"/>
      <c r="I18" s="53"/>
      <c r="J18" s="54"/>
    </row>
    <row r="19" spans="1:10">
      <c r="A19" s="1" t="s">
        <v>175</v>
      </c>
      <c r="B19" s="83"/>
      <c r="C19" s="84"/>
      <c r="D19" s="53"/>
      <c r="E19" s="53"/>
      <c r="F19" s="53"/>
      <c r="G19" s="53"/>
      <c r="H19" s="53"/>
      <c r="I19" s="53"/>
      <c r="J19" s="54"/>
    </row>
    <row r="20" spans="1:10">
      <c r="A20" s="1" t="s">
        <v>176</v>
      </c>
      <c r="B20" s="83"/>
      <c r="C20" s="84"/>
      <c r="D20" s="53"/>
      <c r="E20" s="53"/>
      <c r="F20" s="53"/>
      <c r="G20" s="53"/>
      <c r="H20" s="53"/>
      <c r="I20" s="53"/>
      <c r="J20" s="54"/>
    </row>
    <row r="21" spans="1:10">
      <c r="A21" s="1" t="s">
        <v>177</v>
      </c>
      <c r="B21" s="83"/>
      <c r="C21" s="84"/>
      <c r="D21" s="53"/>
      <c r="E21" s="53"/>
      <c r="F21" s="53"/>
      <c r="G21" s="53"/>
      <c r="H21" s="53"/>
      <c r="I21" s="53"/>
      <c r="J21" s="54"/>
    </row>
    <row r="22" spans="1:10">
      <c r="A22" s="1" t="s">
        <v>178</v>
      </c>
      <c r="B22" s="83"/>
      <c r="C22" s="84"/>
      <c r="D22" s="53"/>
      <c r="E22" s="53"/>
      <c r="F22" s="53"/>
      <c r="G22" s="53"/>
      <c r="H22" s="53"/>
      <c r="I22" s="53"/>
      <c r="J22" s="54"/>
    </row>
    <row r="23" spans="1:10">
      <c r="A23" s="1" t="s">
        <v>104</v>
      </c>
      <c r="B23" s="83"/>
      <c r="C23" s="84"/>
      <c r="D23" s="53"/>
      <c r="E23" s="53"/>
      <c r="F23" s="53"/>
      <c r="G23" s="53"/>
      <c r="H23" s="53"/>
      <c r="I23" s="53"/>
      <c r="J23" s="54"/>
    </row>
    <row r="24" spans="1:10">
      <c r="A24" s="1" t="s">
        <v>105</v>
      </c>
      <c r="B24" s="83"/>
      <c r="C24" s="84"/>
      <c r="D24" s="53"/>
      <c r="E24" s="53"/>
      <c r="F24" s="53"/>
      <c r="G24" s="53"/>
      <c r="H24" s="53"/>
      <c r="I24" s="53"/>
      <c r="J24" s="54"/>
    </row>
    <row r="25" spans="1:10">
      <c r="A25" s="1" t="s">
        <v>106</v>
      </c>
      <c r="B25" s="83"/>
      <c r="C25" s="84"/>
      <c r="D25" s="53"/>
      <c r="E25" s="53"/>
      <c r="F25" s="53"/>
      <c r="G25" s="53"/>
      <c r="H25" s="53"/>
      <c r="I25" s="53"/>
      <c r="J25" s="54"/>
    </row>
    <row r="26" spans="1:10">
      <c r="A26" s="1" t="s">
        <v>107</v>
      </c>
      <c r="B26" s="83"/>
      <c r="C26" s="84"/>
      <c r="D26" s="53"/>
      <c r="E26" s="53"/>
      <c r="F26" s="53"/>
      <c r="G26" s="53"/>
      <c r="H26" s="53"/>
      <c r="I26" s="53"/>
      <c r="J26" s="54"/>
    </row>
    <row r="27" spans="1:10">
      <c r="A27" s="1" t="s">
        <v>108</v>
      </c>
      <c r="B27" s="83"/>
      <c r="C27" s="84"/>
      <c r="D27" s="53"/>
      <c r="E27" s="53"/>
      <c r="F27" s="53"/>
      <c r="G27" s="53"/>
      <c r="H27" s="53"/>
      <c r="I27" s="53"/>
      <c r="J27" s="54"/>
    </row>
    <row r="28" spans="1:10">
      <c r="A28" s="1" t="s">
        <v>109</v>
      </c>
      <c r="B28" s="83"/>
      <c r="C28" s="84"/>
      <c r="D28" s="53"/>
      <c r="E28" s="53"/>
      <c r="F28" s="53"/>
      <c r="G28" s="53"/>
      <c r="H28" s="53"/>
      <c r="I28" s="53"/>
      <c r="J28" s="54"/>
    </row>
    <row r="29" spans="1:10">
      <c r="A29" s="1" t="s">
        <v>110</v>
      </c>
      <c r="B29" s="83"/>
      <c r="C29" s="84"/>
      <c r="D29" s="53"/>
      <c r="E29" s="53"/>
      <c r="F29" s="53"/>
      <c r="G29" s="53"/>
      <c r="H29" s="53"/>
      <c r="I29" s="53"/>
      <c r="J29" s="54"/>
    </row>
    <row r="30" spans="1:10">
      <c r="A30" s="1" t="s">
        <v>111</v>
      </c>
      <c r="B30" s="83"/>
      <c r="C30" s="84"/>
      <c r="D30" s="53"/>
      <c r="E30" s="53"/>
      <c r="F30" s="53"/>
      <c r="G30" s="53"/>
      <c r="H30" s="53"/>
      <c r="I30" s="53"/>
      <c r="J30" s="54"/>
    </row>
    <row r="31" spans="1:10">
      <c r="A31" s="1" t="s">
        <v>112</v>
      </c>
      <c r="B31" s="83"/>
      <c r="C31" s="84"/>
      <c r="D31" s="53"/>
      <c r="E31" s="53"/>
      <c r="F31" s="53"/>
      <c r="G31" s="53"/>
      <c r="H31" s="53"/>
      <c r="I31" s="53"/>
      <c r="J31" s="54"/>
    </row>
    <row r="32" spans="1:10">
      <c r="A32" s="1" t="s">
        <v>113</v>
      </c>
      <c r="B32" s="83"/>
      <c r="C32" s="84"/>
      <c r="D32" s="53"/>
      <c r="E32" s="53"/>
      <c r="F32" s="53"/>
      <c r="G32" s="53"/>
      <c r="H32" s="53"/>
      <c r="I32" s="53"/>
      <c r="J32" s="54"/>
    </row>
    <row r="33" spans="1:10">
      <c r="A33" s="1" t="s">
        <v>114</v>
      </c>
      <c r="B33" s="83"/>
      <c r="C33" s="84"/>
      <c r="D33" s="53"/>
      <c r="E33" s="53"/>
      <c r="F33" s="53"/>
      <c r="G33" s="53"/>
      <c r="H33" s="53"/>
      <c r="I33" s="53"/>
      <c r="J33" s="54"/>
    </row>
    <row r="34" spans="1:10">
      <c r="A34" s="1" t="s">
        <v>115</v>
      </c>
      <c r="B34" s="83"/>
      <c r="C34" s="84"/>
      <c r="D34" s="53"/>
      <c r="E34" s="53"/>
      <c r="F34" s="53"/>
      <c r="G34" s="53"/>
      <c r="H34" s="53"/>
      <c r="I34" s="53"/>
      <c r="J34" s="54"/>
    </row>
    <row r="35" spans="1:10">
      <c r="A35" s="1" t="s">
        <v>116</v>
      </c>
      <c r="B35" s="83"/>
      <c r="C35" s="84"/>
      <c r="D35" s="53"/>
      <c r="E35" s="53"/>
      <c r="F35" s="53"/>
      <c r="G35" s="53"/>
      <c r="H35" s="53"/>
      <c r="I35" s="53"/>
      <c r="J35" s="54"/>
    </row>
    <row r="36" spans="1:10">
      <c r="A36" s="1" t="s">
        <v>117</v>
      </c>
      <c r="B36" s="83"/>
      <c r="C36" s="84"/>
      <c r="D36" s="53"/>
      <c r="E36" s="53"/>
      <c r="F36" s="53"/>
      <c r="G36" s="53"/>
      <c r="H36" s="53"/>
      <c r="I36" s="53"/>
      <c r="J36" s="54"/>
    </row>
    <row r="37" spans="1:10">
      <c r="A37" s="1" t="s">
        <v>118</v>
      </c>
      <c r="B37" s="83"/>
      <c r="C37" s="84"/>
      <c r="D37" s="53"/>
      <c r="E37" s="53"/>
      <c r="F37" s="53"/>
      <c r="G37" s="53"/>
      <c r="H37" s="53"/>
      <c r="I37" s="53"/>
      <c r="J37" s="54"/>
    </row>
    <row r="38" spans="1:10">
      <c r="A38" s="1" t="s">
        <v>119</v>
      </c>
      <c r="B38" s="83"/>
      <c r="C38" s="84"/>
      <c r="D38" s="53"/>
      <c r="E38" s="53"/>
      <c r="F38" s="53"/>
      <c r="G38" s="53"/>
      <c r="H38" s="53"/>
      <c r="I38" s="53"/>
      <c r="J38" s="54"/>
    </row>
    <row r="39" spans="1:10">
      <c r="A39" s="1" t="s">
        <v>120</v>
      </c>
      <c r="B39" s="83"/>
      <c r="C39" s="84"/>
      <c r="D39" s="53"/>
      <c r="E39" s="53"/>
      <c r="F39" s="53"/>
      <c r="G39" s="53"/>
      <c r="H39" s="53"/>
      <c r="I39" s="53"/>
      <c r="J39" s="54"/>
    </row>
    <row r="40" spans="1:10">
      <c r="A40" s="1" t="s">
        <v>121</v>
      </c>
      <c r="B40" s="83"/>
      <c r="C40" s="84"/>
      <c r="D40" s="53"/>
      <c r="E40" s="53"/>
      <c r="F40" s="53"/>
      <c r="G40" s="53"/>
      <c r="H40" s="53"/>
      <c r="I40" s="53"/>
      <c r="J40" s="54"/>
    </row>
    <row r="41" spans="1:10">
      <c r="A41" s="1" t="s">
        <v>122</v>
      </c>
      <c r="B41" s="83"/>
      <c r="C41" s="84"/>
      <c r="D41" s="53"/>
      <c r="E41" s="53"/>
      <c r="F41" s="53"/>
      <c r="G41" s="53"/>
      <c r="H41" s="53"/>
      <c r="I41" s="53"/>
      <c r="J41" s="54"/>
    </row>
    <row r="42" spans="1:10">
      <c r="A42" s="1" t="s">
        <v>123</v>
      </c>
      <c r="B42" s="83"/>
      <c r="C42" s="84"/>
      <c r="D42" s="53"/>
      <c r="E42" s="53"/>
      <c r="F42" s="53"/>
      <c r="G42" s="53"/>
      <c r="H42" s="53"/>
      <c r="I42" s="53"/>
      <c r="J42" s="54"/>
    </row>
    <row r="43" spans="1:10">
      <c r="A43" s="1" t="s">
        <v>124</v>
      </c>
      <c r="B43" s="83"/>
      <c r="C43" s="84"/>
      <c r="D43" s="53"/>
      <c r="E43" s="53"/>
      <c r="F43" s="53"/>
      <c r="G43" s="53"/>
      <c r="H43" s="53"/>
      <c r="I43" s="53"/>
      <c r="J43" s="54"/>
    </row>
    <row r="44" spans="1:10">
      <c r="A44" s="1" t="s">
        <v>125</v>
      </c>
      <c r="B44" s="83"/>
      <c r="C44" s="84"/>
      <c r="D44" s="53"/>
      <c r="E44" s="53"/>
      <c r="F44" s="53"/>
      <c r="G44" s="53"/>
      <c r="H44" s="53"/>
      <c r="I44" s="53"/>
      <c r="J44" s="54"/>
    </row>
    <row r="45" spans="1:10">
      <c r="A45" s="1" t="s">
        <v>126</v>
      </c>
      <c r="B45" s="83"/>
      <c r="C45" s="84"/>
      <c r="D45" s="53"/>
      <c r="E45" s="53"/>
      <c r="F45" s="53"/>
      <c r="G45" s="53"/>
      <c r="H45" s="53"/>
      <c r="I45" s="53"/>
      <c r="J45" s="54"/>
    </row>
    <row r="46" spans="1:10">
      <c r="A46" s="1" t="s">
        <v>127</v>
      </c>
      <c r="B46" s="108"/>
      <c r="C46" s="85"/>
      <c r="D46" s="61"/>
      <c r="E46" s="61"/>
      <c r="F46" s="61"/>
      <c r="G46" s="61"/>
      <c r="H46" s="61"/>
      <c r="I46" s="61"/>
      <c r="J46" s="63"/>
    </row>
  </sheetData>
  <mergeCells count="2">
    <mergeCell ref="A1:B1"/>
    <mergeCell ref="C1:J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orrelatedFactors">
                <anchor moveWithCells="1" sizeWithCells="1">
                  <from>
                    <xdr:col>1</xdr:col>
                    <xdr:colOff>333375</xdr:colOff>
                    <xdr:row>4</xdr:row>
                    <xdr:rowOff>19050</xdr:rowOff>
                  </from>
                  <to>
                    <xdr:col>2</xdr:col>
                    <xdr:colOff>257175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G49"/>
  <sheetViews>
    <sheetView workbookViewId="0">
      <selection activeCell="E22" sqref="E22"/>
    </sheetView>
  </sheetViews>
  <sheetFormatPr defaultColWidth="0" defaultRowHeight="15" zeroHeight="1"/>
  <cols>
    <col min="1" max="33" width="12.140625" style="1" customWidth="1"/>
    <col min="34" max="16384" width="9" style="1" hidden="1"/>
  </cols>
  <sheetData>
    <row r="1" spans="1:9">
      <c r="C1" s="124" t="s">
        <v>179</v>
      </c>
      <c r="D1" s="112"/>
      <c r="E1" s="112"/>
      <c r="F1" s="124" t="s">
        <v>180</v>
      </c>
      <c r="G1" s="112"/>
      <c r="H1" s="112"/>
    </row>
    <row r="2" spans="1:9">
      <c r="C2" s="1" t="s">
        <v>181</v>
      </c>
      <c r="F2" s="1" t="s">
        <v>181</v>
      </c>
    </row>
    <row r="3" spans="1:9">
      <c r="A3" s="35" t="s">
        <v>75</v>
      </c>
      <c r="C3" s="64"/>
      <c r="D3" s="65"/>
      <c r="E3" s="66"/>
      <c r="F3" s="64"/>
      <c r="G3" s="65"/>
      <c r="H3" s="66"/>
    </row>
    <row r="4" spans="1:9">
      <c r="A4" s="120" t="s">
        <v>76</v>
      </c>
      <c r="B4" s="1" t="s">
        <v>182</v>
      </c>
      <c r="C4" s="86"/>
      <c r="D4" s="4"/>
      <c r="E4" s="4"/>
      <c r="F4" s="86"/>
      <c r="G4" s="4"/>
      <c r="H4" s="4"/>
    </row>
    <row r="5" spans="1:9">
      <c r="A5" s="121"/>
      <c r="B5" s="1" t="s">
        <v>183</v>
      </c>
      <c r="C5" s="87"/>
      <c r="D5" s="4"/>
      <c r="E5" s="4"/>
      <c r="F5" s="87"/>
      <c r="G5" s="4"/>
      <c r="H5" s="4"/>
    </row>
    <row r="6" spans="1:9">
      <c r="A6" s="121"/>
      <c r="B6" s="1" t="s">
        <v>184</v>
      </c>
      <c r="C6" s="87"/>
      <c r="D6" s="4"/>
      <c r="E6" s="4"/>
      <c r="F6" s="87"/>
      <c r="G6" s="4"/>
      <c r="H6" s="4"/>
    </row>
    <row r="7" spans="1:9">
      <c r="A7" s="121"/>
      <c r="B7" s="1" t="s">
        <v>185</v>
      </c>
      <c r="C7" s="87"/>
      <c r="D7" s="4"/>
      <c r="E7" s="4"/>
      <c r="F7" s="87"/>
      <c r="G7" s="4"/>
      <c r="H7" s="4"/>
    </row>
    <row r="8" spans="1:9">
      <c r="A8" s="121"/>
      <c r="B8" s="1" t="s">
        <v>186</v>
      </c>
      <c r="C8" s="87"/>
      <c r="D8" s="4"/>
      <c r="E8" s="4"/>
      <c r="F8" s="87"/>
      <c r="G8" s="4"/>
      <c r="H8" s="4"/>
    </row>
    <row r="9" spans="1:9">
      <c r="A9" s="121"/>
      <c r="B9" s="1" t="s">
        <v>187</v>
      </c>
      <c r="C9" s="87"/>
      <c r="D9" s="4"/>
      <c r="E9" s="4"/>
      <c r="F9" s="87"/>
      <c r="G9" s="4"/>
      <c r="H9" s="4"/>
    </row>
    <row r="10" spans="1:9">
      <c r="A10" s="121"/>
      <c r="B10" s="1" t="s">
        <v>188</v>
      </c>
      <c r="C10" s="87"/>
      <c r="D10" s="4"/>
      <c r="E10" s="4"/>
      <c r="F10" s="87"/>
      <c r="G10" s="4"/>
      <c r="H10" s="4"/>
    </row>
    <row r="11" spans="1:9">
      <c r="A11" s="121"/>
      <c r="B11" s="1" t="s">
        <v>189</v>
      </c>
      <c r="C11" s="88"/>
      <c r="D11" s="4"/>
      <c r="E11" s="4"/>
      <c r="F11" s="88"/>
      <c r="G11" s="4"/>
      <c r="H11" s="4"/>
    </row>
    <row r="12" spans="1:9">
      <c r="A12" s="16" t="s">
        <v>190</v>
      </c>
    </row>
    <row r="13" spans="1:9">
      <c r="A13" s="16" t="s">
        <v>191</v>
      </c>
      <c r="H13" s="89"/>
      <c r="I13" s="1" t="s">
        <v>192</v>
      </c>
    </row>
    <row r="14" spans="1:9">
      <c r="A14" s="16" t="s">
        <v>193</v>
      </c>
    </row>
    <row r="15" spans="1:9">
      <c r="A15" s="16" t="s">
        <v>194</v>
      </c>
    </row>
    <row r="16" spans="1:9">
      <c r="A16" s="17" t="s">
        <v>238</v>
      </c>
    </row>
    <row r="17" spans="1:33">
      <c r="B17" s="1" t="s">
        <v>195</v>
      </c>
      <c r="C17" s="1" t="s">
        <v>196</v>
      </c>
      <c r="D17" s="1" t="s">
        <v>197</v>
      </c>
      <c r="E17" s="1" t="s">
        <v>198</v>
      </c>
      <c r="F17" s="1" t="s">
        <v>199</v>
      </c>
      <c r="G17" s="1" t="s">
        <v>200</v>
      </c>
      <c r="H17" s="1" t="s">
        <v>104</v>
      </c>
      <c r="I17" s="1" t="s">
        <v>105</v>
      </c>
      <c r="J17" s="1" t="s">
        <v>106</v>
      </c>
      <c r="K17" s="1" t="s">
        <v>107</v>
      </c>
      <c r="L17" s="1" t="s">
        <v>108</v>
      </c>
      <c r="M17" s="1" t="s">
        <v>109</v>
      </c>
      <c r="N17" s="1" t="s">
        <v>110</v>
      </c>
      <c r="O17" s="1" t="s">
        <v>111</v>
      </c>
      <c r="P17" s="1" t="s">
        <v>112</v>
      </c>
      <c r="Q17" s="1" t="s">
        <v>113</v>
      </c>
      <c r="R17" s="1" t="s">
        <v>114</v>
      </c>
      <c r="S17" s="1" t="s">
        <v>115</v>
      </c>
      <c r="T17" s="1" t="s">
        <v>116</v>
      </c>
      <c r="U17" s="1" t="s">
        <v>117</v>
      </c>
      <c r="V17" s="1" t="s">
        <v>118</v>
      </c>
      <c r="W17" s="1" t="s">
        <v>119</v>
      </c>
      <c r="X17" s="1" t="s">
        <v>120</v>
      </c>
      <c r="Y17" s="1" t="s">
        <v>121</v>
      </c>
      <c r="Z17" s="1" t="s">
        <v>122</v>
      </c>
      <c r="AA17" s="1" t="s">
        <v>123</v>
      </c>
      <c r="AB17" s="1" t="s">
        <v>124</v>
      </c>
      <c r="AC17" s="1" t="s">
        <v>125</v>
      </c>
      <c r="AD17" s="1" t="s">
        <v>126</v>
      </c>
      <c r="AE17" s="1" t="s">
        <v>127</v>
      </c>
      <c r="AF17" s="1" t="s">
        <v>201</v>
      </c>
      <c r="AG17" s="1" t="s">
        <v>202</v>
      </c>
    </row>
    <row r="18" spans="1:33">
      <c r="A18" s="1" t="s">
        <v>195</v>
      </c>
      <c r="B18" s="90"/>
      <c r="C18" s="91"/>
      <c r="D18" s="91"/>
      <c r="E18" s="91"/>
      <c r="F18" s="91"/>
      <c r="G18" s="91"/>
      <c r="H18" s="91"/>
      <c r="I18" s="91"/>
      <c r="J18" s="91"/>
      <c r="K18" s="91"/>
      <c r="L18" s="91"/>
      <c r="M18" s="91"/>
      <c r="N18" s="92"/>
      <c r="O18" s="92"/>
      <c r="P18" s="92"/>
      <c r="Q18" s="92"/>
      <c r="R18" s="92"/>
      <c r="S18" s="92"/>
      <c r="T18" s="92"/>
      <c r="U18" s="92"/>
      <c r="V18" s="92"/>
      <c r="W18" s="92"/>
      <c r="X18" s="92"/>
      <c r="Y18" s="92"/>
      <c r="Z18" s="92"/>
      <c r="AA18" s="92"/>
      <c r="AB18" s="92"/>
      <c r="AC18" s="92"/>
      <c r="AD18" s="92"/>
      <c r="AE18" s="92"/>
      <c r="AF18" s="92"/>
      <c r="AG18" s="93"/>
    </row>
    <row r="19" spans="1:33">
      <c r="A19" s="1" t="s">
        <v>196</v>
      </c>
      <c r="B19" s="94"/>
      <c r="C19" s="95"/>
      <c r="D19" s="95"/>
      <c r="E19" s="95"/>
      <c r="F19" s="95"/>
      <c r="G19" s="95"/>
      <c r="H19" s="95"/>
      <c r="I19" s="95"/>
      <c r="J19" s="95"/>
      <c r="K19" s="95"/>
      <c r="L19" s="95"/>
      <c r="M19" s="95"/>
      <c r="N19" s="96"/>
      <c r="O19" s="96"/>
      <c r="P19" s="96"/>
      <c r="Q19" s="96"/>
      <c r="R19" s="96"/>
      <c r="S19" s="96"/>
      <c r="T19" s="96"/>
      <c r="U19" s="96"/>
      <c r="V19" s="96"/>
      <c r="W19" s="96"/>
      <c r="X19" s="96"/>
      <c r="Y19" s="96"/>
      <c r="Z19" s="96"/>
      <c r="AA19" s="96"/>
      <c r="AB19" s="96"/>
      <c r="AC19" s="96"/>
      <c r="AD19" s="96"/>
      <c r="AE19" s="96"/>
      <c r="AF19" s="96"/>
      <c r="AG19" s="97"/>
    </row>
    <row r="20" spans="1:33">
      <c r="A20" s="1" t="s">
        <v>197</v>
      </c>
      <c r="B20" s="94"/>
      <c r="C20" s="95"/>
      <c r="D20" s="95"/>
      <c r="E20" s="95"/>
      <c r="F20" s="95"/>
      <c r="G20" s="95"/>
      <c r="H20" s="95"/>
      <c r="I20" s="95"/>
      <c r="J20" s="95"/>
      <c r="K20" s="95"/>
      <c r="L20" s="95"/>
      <c r="M20" s="95"/>
      <c r="N20" s="96"/>
      <c r="O20" s="96"/>
      <c r="P20" s="96"/>
      <c r="Q20" s="96"/>
      <c r="R20" s="96"/>
      <c r="S20" s="96"/>
      <c r="T20" s="96"/>
      <c r="U20" s="96"/>
      <c r="V20" s="96"/>
      <c r="W20" s="96"/>
      <c r="X20" s="96"/>
      <c r="Y20" s="96"/>
      <c r="Z20" s="96"/>
      <c r="AA20" s="96"/>
      <c r="AB20" s="96"/>
      <c r="AC20" s="96"/>
      <c r="AD20" s="96"/>
      <c r="AE20" s="96"/>
      <c r="AF20" s="96"/>
      <c r="AG20" s="97"/>
    </row>
    <row r="21" spans="1:33">
      <c r="A21" s="1" t="s">
        <v>198</v>
      </c>
      <c r="B21" s="94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7"/>
    </row>
    <row r="22" spans="1:33">
      <c r="A22" s="1" t="s">
        <v>199</v>
      </c>
      <c r="B22" s="94"/>
      <c r="C22" s="95"/>
      <c r="D22" s="95"/>
      <c r="E22" s="95"/>
      <c r="F22" s="95"/>
      <c r="G22" s="95"/>
      <c r="H22" s="95"/>
      <c r="I22" s="95"/>
      <c r="J22" s="95"/>
      <c r="K22" s="95"/>
      <c r="L22" s="95"/>
      <c r="M22" s="95"/>
      <c r="N22" s="96"/>
      <c r="O22" s="96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7"/>
    </row>
    <row r="23" spans="1:33">
      <c r="A23" s="1" t="s">
        <v>200</v>
      </c>
      <c r="B23" s="94"/>
      <c r="C23" s="95"/>
      <c r="D23" s="95"/>
      <c r="E23" s="95"/>
      <c r="F23" s="95"/>
      <c r="G23" s="95"/>
      <c r="H23" s="95"/>
      <c r="I23" s="95"/>
      <c r="J23" s="95"/>
      <c r="K23" s="95"/>
      <c r="L23" s="95"/>
      <c r="M23" s="95"/>
      <c r="N23" s="96"/>
      <c r="O23" s="9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7"/>
    </row>
    <row r="24" spans="1:33">
      <c r="A24" s="1" t="s">
        <v>104</v>
      </c>
      <c r="B24" s="94"/>
      <c r="C24" s="95"/>
      <c r="D24" s="95"/>
      <c r="E24" s="95"/>
      <c r="F24" s="95"/>
      <c r="G24" s="95"/>
      <c r="H24" s="95"/>
      <c r="I24" s="95"/>
      <c r="J24" s="95"/>
      <c r="K24" s="95"/>
      <c r="L24" s="95"/>
      <c r="M24" s="95"/>
      <c r="N24" s="96"/>
      <c r="O24" s="96"/>
      <c r="P24" s="96"/>
      <c r="Q24" s="96"/>
      <c r="R24" s="96"/>
      <c r="S24" s="96"/>
      <c r="T24" s="96"/>
      <c r="U24" s="96"/>
      <c r="V24" s="96"/>
      <c r="W24" s="96"/>
      <c r="X24" s="96"/>
      <c r="Y24" s="96"/>
      <c r="Z24" s="96"/>
      <c r="AA24" s="96"/>
      <c r="AB24" s="96"/>
      <c r="AC24" s="96"/>
      <c r="AD24" s="96"/>
      <c r="AE24" s="96"/>
      <c r="AF24" s="96"/>
      <c r="AG24" s="97"/>
    </row>
    <row r="25" spans="1:33">
      <c r="A25" s="1" t="s">
        <v>105</v>
      </c>
      <c r="B25" s="94"/>
      <c r="C25" s="95"/>
      <c r="D25" s="95"/>
      <c r="E25" s="95"/>
      <c r="F25" s="95"/>
      <c r="G25" s="95"/>
      <c r="H25" s="95"/>
      <c r="I25" s="95"/>
      <c r="J25" s="95"/>
      <c r="K25" s="95"/>
      <c r="L25" s="95"/>
      <c r="M25" s="95"/>
      <c r="N25" s="96"/>
      <c r="O25" s="96"/>
      <c r="P25" s="96"/>
      <c r="Q25" s="96"/>
      <c r="R25" s="96"/>
      <c r="S25" s="96"/>
      <c r="T25" s="96"/>
      <c r="U25" s="96"/>
      <c r="V25" s="96"/>
      <c r="W25" s="96"/>
      <c r="X25" s="96"/>
      <c r="Y25" s="96"/>
      <c r="Z25" s="96"/>
      <c r="AA25" s="96"/>
      <c r="AB25" s="96"/>
      <c r="AC25" s="96"/>
      <c r="AD25" s="96"/>
      <c r="AE25" s="96"/>
      <c r="AF25" s="96"/>
      <c r="AG25" s="97"/>
    </row>
    <row r="26" spans="1:33">
      <c r="A26" s="1" t="s">
        <v>106</v>
      </c>
      <c r="B26" s="94"/>
      <c r="C26" s="95"/>
      <c r="D26" s="95"/>
      <c r="E26" s="95"/>
      <c r="F26" s="95"/>
      <c r="G26" s="95"/>
      <c r="H26" s="95"/>
      <c r="I26" s="95"/>
      <c r="J26" s="95"/>
      <c r="K26" s="95"/>
      <c r="L26" s="95"/>
      <c r="M26" s="95"/>
      <c r="N26" s="96"/>
      <c r="O26" s="96"/>
      <c r="P26" s="96"/>
      <c r="Q26" s="96"/>
      <c r="R26" s="96"/>
      <c r="S26" s="96"/>
      <c r="T26" s="96"/>
      <c r="U26" s="96"/>
      <c r="V26" s="96"/>
      <c r="W26" s="96"/>
      <c r="X26" s="96"/>
      <c r="Y26" s="96"/>
      <c r="Z26" s="96"/>
      <c r="AA26" s="96"/>
      <c r="AB26" s="96"/>
      <c r="AC26" s="96"/>
      <c r="AD26" s="96"/>
      <c r="AE26" s="96"/>
      <c r="AF26" s="96"/>
      <c r="AG26" s="97"/>
    </row>
    <row r="27" spans="1:33">
      <c r="A27" s="1" t="s">
        <v>107</v>
      </c>
      <c r="B27" s="98"/>
      <c r="C27" s="95"/>
      <c r="D27" s="95"/>
      <c r="E27" s="95"/>
      <c r="F27" s="96"/>
      <c r="G27" s="96"/>
      <c r="H27" s="96"/>
      <c r="I27" s="96"/>
      <c r="J27" s="96"/>
      <c r="K27" s="96"/>
      <c r="L27" s="96"/>
      <c r="M27" s="96"/>
      <c r="N27" s="96"/>
      <c r="O27" s="96"/>
      <c r="P27" s="96"/>
      <c r="Q27" s="96"/>
      <c r="R27" s="96"/>
      <c r="S27" s="96"/>
      <c r="T27" s="96"/>
      <c r="U27" s="96"/>
      <c r="V27" s="96"/>
      <c r="W27" s="96"/>
      <c r="X27" s="96"/>
      <c r="Y27" s="96"/>
      <c r="Z27" s="96"/>
      <c r="AA27" s="96"/>
      <c r="AB27" s="96"/>
      <c r="AC27" s="96"/>
      <c r="AD27" s="96"/>
      <c r="AE27" s="96"/>
      <c r="AF27" s="96"/>
      <c r="AG27" s="97"/>
    </row>
    <row r="28" spans="1:33">
      <c r="A28" s="1" t="s">
        <v>108</v>
      </c>
      <c r="B28" s="98"/>
      <c r="C28" s="95"/>
      <c r="D28" s="95"/>
      <c r="E28" s="95"/>
      <c r="F28" s="96"/>
      <c r="G28" s="96"/>
      <c r="H28" s="96"/>
      <c r="I28" s="96"/>
      <c r="J28" s="96"/>
      <c r="K28" s="96"/>
      <c r="L28" s="96"/>
      <c r="M28" s="96"/>
      <c r="N28" s="96"/>
      <c r="O28" s="96"/>
      <c r="P28" s="96"/>
      <c r="Q28" s="96"/>
      <c r="R28" s="96"/>
      <c r="S28" s="96"/>
      <c r="T28" s="96"/>
      <c r="U28" s="96"/>
      <c r="V28" s="96"/>
      <c r="W28" s="96"/>
      <c r="X28" s="96"/>
      <c r="Y28" s="96"/>
      <c r="Z28" s="96"/>
      <c r="AA28" s="96"/>
      <c r="AB28" s="96"/>
      <c r="AC28" s="96"/>
      <c r="AD28" s="96"/>
      <c r="AE28" s="96"/>
      <c r="AF28" s="96"/>
      <c r="AG28" s="97"/>
    </row>
    <row r="29" spans="1:33">
      <c r="A29" s="1" t="s">
        <v>109</v>
      </c>
      <c r="B29" s="98"/>
      <c r="C29" s="95"/>
      <c r="D29" s="95"/>
      <c r="E29" s="95"/>
      <c r="F29" s="96"/>
      <c r="G29" s="96"/>
      <c r="H29" s="96"/>
      <c r="I29" s="96"/>
      <c r="J29" s="96"/>
      <c r="K29" s="96"/>
      <c r="L29" s="96"/>
      <c r="M29" s="96"/>
      <c r="N29" s="96"/>
      <c r="O29" s="96"/>
      <c r="P29" s="96"/>
      <c r="Q29" s="96"/>
      <c r="R29" s="96"/>
      <c r="S29" s="96"/>
      <c r="T29" s="96"/>
      <c r="U29" s="96"/>
      <c r="V29" s="96"/>
      <c r="W29" s="96"/>
      <c r="X29" s="96"/>
      <c r="Y29" s="96"/>
      <c r="Z29" s="96"/>
      <c r="AA29" s="96"/>
      <c r="AB29" s="96"/>
      <c r="AC29" s="96"/>
      <c r="AD29" s="96"/>
      <c r="AE29" s="96"/>
      <c r="AF29" s="96"/>
      <c r="AG29" s="97"/>
    </row>
    <row r="30" spans="1:33">
      <c r="A30" s="1" t="s">
        <v>110</v>
      </c>
      <c r="B30" s="98"/>
      <c r="C30" s="96"/>
      <c r="D30" s="96"/>
      <c r="E30" s="96"/>
      <c r="F30" s="96"/>
      <c r="G30" s="96"/>
      <c r="H30" s="96"/>
      <c r="I30" s="96"/>
      <c r="J30" s="96"/>
      <c r="K30" s="96"/>
      <c r="L30" s="96"/>
      <c r="M30" s="96"/>
      <c r="N30" s="96"/>
      <c r="O30" s="96"/>
      <c r="P30" s="96"/>
      <c r="Q30" s="96"/>
      <c r="R30" s="96"/>
      <c r="S30" s="96"/>
      <c r="T30" s="96"/>
      <c r="U30" s="96"/>
      <c r="V30" s="96"/>
      <c r="W30" s="96"/>
      <c r="X30" s="96"/>
      <c r="Y30" s="96"/>
      <c r="Z30" s="96"/>
      <c r="AA30" s="96"/>
      <c r="AB30" s="96"/>
      <c r="AC30" s="96"/>
      <c r="AD30" s="96"/>
      <c r="AE30" s="96"/>
      <c r="AF30" s="96"/>
      <c r="AG30" s="97"/>
    </row>
    <row r="31" spans="1:33">
      <c r="A31" s="1" t="s">
        <v>111</v>
      </c>
      <c r="B31" s="98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96"/>
      <c r="P31" s="96"/>
      <c r="Q31" s="96"/>
      <c r="R31" s="96"/>
      <c r="S31" s="96"/>
      <c r="T31" s="96"/>
      <c r="U31" s="96"/>
      <c r="V31" s="96"/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7"/>
    </row>
    <row r="32" spans="1:33">
      <c r="A32" s="1" t="s">
        <v>112</v>
      </c>
      <c r="B32" s="98"/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  <c r="N32" s="96"/>
      <c r="O32" s="96"/>
      <c r="P32" s="96"/>
      <c r="Q32" s="96"/>
      <c r="R32" s="96"/>
      <c r="S32" s="96"/>
      <c r="T32" s="96"/>
      <c r="U32" s="96"/>
      <c r="V32" s="96"/>
      <c r="W32" s="96"/>
      <c r="X32" s="96"/>
      <c r="Y32" s="96"/>
      <c r="Z32" s="96"/>
      <c r="AA32" s="96"/>
      <c r="AB32" s="96"/>
      <c r="AC32" s="96"/>
      <c r="AD32" s="96"/>
      <c r="AE32" s="96"/>
      <c r="AF32" s="96"/>
      <c r="AG32" s="97"/>
    </row>
    <row r="33" spans="1:33">
      <c r="A33" s="1" t="s">
        <v>113</v>
      </c>
      <c r="B33" s="98"/>
      <c r="C33" s="96"/>
      <c r="D33" s="96"/>
      <c r="E33" s="96"/>
      <c r="F33" s="96"/>
      <c r="G33" s="96"/>
      <c r="H33" s="96"/>
      <c r="I33" s="96"/>
      <c r="J33" s="96"/>
      <c r="K33" s="96"/>
      <c r="L33" s="96"/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7"/>
    </row>
    <row r="34" spans="1:33">
      <c r="A34" s="1" t="s">
        <v>114</v>
      </c>
      <c r="B34" s="98"/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96"/>
      <c r="N34" s="96"/>
      <c r="O34" s="96"/>
      <c r="P34" s="96"/>
      <c r="Q34" s="96"/>
      <c r="R34" s="96"/>
      <c r="S34" s="96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97"/>
    </row>
    <row r="35" spans="1:33">
      <c r="A35" s="1" t="s">
        <v>115</v>
      </c>
      <c r="B35" s="98"/>
      <c r="C35" s="96"/>
      <c r="D35" s="96"/>
      <c r="E35" s="96"/>
      <c r="F35" s="96"/>
      <c r="G35" s="96"/>
      <c r="H35" s="96"/>
      <c r="I35" s="96"/>
      <c r="J35" s="96"/>
      <c r="K35" s="96"/>
      <c r="L35" s="96"/>
      <c r="M35" s="96"/>
      <c r="N35" s="96"/>
      <c r="O35" s="96"/>
      <c r="P35" s="96"/>
      <c r="Q35" s="96"/>
      <c r="R35" s="96"/>
      <c r="S35" s="96"/>
      <c r="T35" s="96"/>
      <c r="U35" s="96"/>
      <c r="V35" s="96"/>
      <c r="W35" s="96"/>
      <c r="X35" s="96"/>
      <c r="Y35" s="96"/>
      <c r="Z35" s="96"/>
      <c r="AA35" s="96"/>
      <c r="AB35" s="96"/>
      <c r="AC35" s="96"/>
      <c r="AD35" s="96"/>
      <c r="AE35" s="96"/>
      <c r="AF35" s="96"/>
      <c r="AG35" s="97"/>
    </row>
    <row r="36" spans="1:33">
      <c r="A36" s="1" t="s">
        <v>116</v>
      </c>
      <c r="B36" s="98"/>
      <c r="C36" s="96"/>
      <c r="D36" s="96"/>
      <c r="E36" s="96"/>
      <c r="F36" s="96"/>
      <c r="G36" s="96"/>
      <c r="H36" s="96"/>
      <c r="I36" s="96"/>
      <c r="J36" s="96"/>
      <c r="K36" s="96"/>
      <c r="L36" s="96"/>
      <c r="M36" s="96"/>
      <c r="N36" s="96"/>
      <c r="O36" s="96"/>
      <c r="P36" s="96"/>
      <c r="Q36" s="96"/>
      <c r="R36" s="96"/>
      <c r="S36" s="96"/>
      <c r="T36" s="96"/>
      <c r="U36" s="96"/>
      <c r="V36" s="96"/>
      <c r="W36" s="96"/>
      <c r="X36" s="96"/>
      <c r="Y36" s="96"/>
      <c r="Z36" s="96"/>
      <c r="AA36" s="96"/>
      <c r="AB36" s="96"/>
      <c r="AC36" s="96"/>
      <c r="AD36" s="96"/>
      <c r="AE36" s="96"/>
      <c r="AF36" s="96"/>
      <c r="AG36" s="97"/>
    </row>
    <row r="37" spans="1:33">
      <c r="A37" s="1" t="s">
        <v>117</v>
      </c>
      <c r="B37" s="98"/>
      <c r="C37" s="96"/>
      <c r="D37" s="96"/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7"/>
    </row>
    <row r="38" spans="1:33">
      <c r="A38" s="1" t="s">
        <v>118</v>
      </c>
      <c r="B38" s="98"/>
      <c r="C38" s="96"/>
      <c r="D38" s="96"/>
      <c r="E38" s="96"/>
      <c r="F38" s="96"/>
      <c r="G38" s="96"/>
      <c r="H38" s="9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X38" s="96"/>
      <c r="Y38" s="96"/>
      <c r="Z38" s="96"/>
      <c r="AA38" s="96"/>
      <c r="AB38" s="96"/>
      <c r="AC38" s="96"/>
      <c r="AD38" s="96"/>
      <c r="AE38" s="96"/>
      <c r="AF38" s="96"/>
      <c r="AG38" s="97"/>
    </row>
    <row r="39" spans="1:33">
      <c r="A39" s="1" t="s">
        <v>119</v>
      </c>
      <c r="B39" s="98"/>
      <c r="C39" s="96"/>
      <c r="D39" s="96"/>
      <c r="E39" s="96"/>
      <c r="F39" s="96"/>
      <c r="G39" s="96"/>
      <c r="H39" s="96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V39" s="96"/>
      <c r="W39" s="96"/>
      <c r="X39" s="96"/>
      <c r="Y39" s="96"/>
      <c r="Z39" s="96"/>
      <c r="AA39" s="96"/>
      <c r="AB39" s="96"/>
      <c r="AC39" s="96"/>
      <c r="AD39" s="96"/>
      <c r="AE39" s="96"/>
      <c r="AF39" s="96"/>
      <c r="AG39" s="97"/>
    </row>
    <row r="40" spans="1:33">
      <c r="A40" s="1" t="s">
        <v>120</v>
      </c>
      <c r="B40" s="98"/>
      <c r="C40" s="96"/>
      <c r="D40" s="96"/>
      <c r="E40" s="96"/>
      <c r="F40" s="96"/>
      <c r="G40" s="96"/>
      <c r="H40" s="96"/>
      <c r="I40" s="96"/>
      <c r="J40" s="96"/>
      <c r="K40" s="96"/>
      <c r="L40" s="96"/>
      <c r="M40" s="96"/>
      <c r="N40" s="96"/>
      <c r="O40" s="96"/>
      <c r="P40" s="96"/>
      <c r="Q40" s="96"/>
      <c r="R40" s="96"/>
      <c r="S40" s="96"/>
      <c r="T40" s="96"/>
      <c r="U40" s="96"/>
      <c r="V40" s="96"/>
      <c r="W40" s="96"/>
      <c r="X40" s="96"/>
      <c r="Y40" s="96"/>
      <c r="Z40" s="96"/>
      <c r="AA40" s="96"/>
      <c r="AB40" s="96"/>
      <c r="AC40" s="96"/>
      <c r="AD40" s="96"/>
      <c r="AE40" s="96"/>
      <c r="AF40" s="96"/>
      <c r="AG40" s="97"/>
    </row>
    <row r="41" spans="1:33">
      <c r="A41" s="1" t="s">
        <v>121</v>
      </c>
      <c r="B41" s="98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7"/>
    </row>
    <row r="42" spans="1:33">
      <c r="A42" s="1" t="s">
        <v>122</v>
      </c>
      <c r="B42" s="98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7"/>
    </row>
    <row r="43" spans="1:33">
      <c r="A43" s="1" t="s">
        <v>123</v>
      </c>
      <c r="B43" s="98"/>
      <c r="C43" s="96"/>
      <c r="D43" s="96"/>
      <c r="E43" s="96"/>
      <c r="F43" s="96"/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  <c r="AA43" s="96"/>
      <c r="AB43" s="96"/>
      <c r="AC43" s="96"/>
      <c r="AD43" s="96"/>
      <c r="AE43" s="96"/>
      <c r="AF43" s="96"/>
      <c r="AG43" s="97"/>
    </row>
    <row r="44" spans="1:33">
      <c r="A44" s="1" t="s">
        <v>124</v>
      </c>
      <c r="B44" s="98"/>
      <c r="C44" s="96"/>
      <c r="D44" s="96"/>
      <c r="E44" s="96"/>
      <c r="F44" s="96"/>
      <c r="G44" s="96"/>
      <c r="H44" s="96"/>
      <c r="I44" s="96"/>
      <c r="J44" s="96"/>
      <c r="K44" s="96"/>
      <c r="L44" s="96"/>
      <c r="M44" s="96"/>
      <c r="N44" s="96"/>
      <c r="O44" s="96"/>
      <c r="P44" s="96"/>
      <c r="Q44" s="96"/>
      <c r="R44" s="96"/>
      <c r="S44" s="96"/>
      <c r="T44" s="96"/>
      <c r="U44" s="96"/>
      <c r="V44" s="96"/>
      <c r="W44" s="96"/>
      <c r="X44" s="96"/>
      <c r="Y44" s="96"/>
      <c r="Z44" s="96"/>
      <c r="AA44" s="96"/>
      <c r="AB44" s="96"/>
      <c r="AC44" s="96"/>
      <c r="AD44" s="96"/>
      <c r="AE44" s="96"/>
      <c r="AF44" s="96"/>
      <c r="AG44" s="97"/>
    </row>
    <row r="45" spans="1:33">
      <c r="A45" s="1" t="s">
        <v>125</v>
      </c>
      <c r="B45" s="98"/>
      <c r="C45" s="96"/>
      <c r="D45" s="96"/>
      <c r="E45" s="96"/>
      <c r="F45" s="96"/>
      <c r="G45" s="96"/>
      <c r="H45" s="96"/>
      <c r="I45" s="96"/>
      <c r="J45" s="96"/>
      <c r="K45" s="96"/>
      <c r="L45" s="96"/>
      <c r="M45" s="96"/>
      <c r="N45" s="96"/>
      <c r="O45" s="96"/>
      <c r="P45" s="96"/>
      <c r="Q45" s="96"/>
      <c r="R45" s="96"/>
      <c r="S45" s="96"/>
      <c r="T45" s="96"/>
      <c r="U45" s="96"/>
      <c r="V45" s="96"/>
      <c r="W45" s="96"/>
      <c r="X45" s="96"/>
      <c r="Y45" s="96"/>
      <c r="Z45" s="96"/>
      <c r="AA45" s="96"/>
      <c r="AB45" s="96"/>
      <c r="AC45" s="96"/>
      <c r="AD45" s="96"/>
      <c r="AE45" s="96"/>
      <c r="AF45" s="96"/>
      <c r="AG45" s="97"/>
    </row>
    <row r="46" spans="1:33">
      <c r="A46" s="1" t="s">
        <v>126</v>
      </c>
      <c r="B46" s="98"/>
      <c r="C46" s="96"/>
      <c r="D46" s="96"/>
      <c r="E46" s="96"/>
      <c r="F46" s="96"/>
      <c r="G46" s="96"/>
      <c r="H46" s="96"/>
      <c r="I46" s="96"/>
      <c r="J46" s="96"/>
      <c r="K46" s="96"/>
      <c r="L46" s="96"/>
      <c r="M46" s="96"/>
      <c r="N46" s="96"/>
      <c r="O46" s="96"/>
      <c r="P46" s="96"/>
      <c r="Q46" s="96"/>
      <c r="R46" s="96"/>
      <c r="S46" s="96"/>
      <c r="T46" s="96"/>
      <c r="U46" s="96"/>
      <c r="V46" s="96"/>
      <c r="W46" s="96"/>
      <c r="X46" s="96"/>
      <c r="Y46" s="96"/>
      <c r="Z46" s="96"/>
      <c r="AA46" s="96"/>
      <c r="AB46" s="96"/>
      <c r="AC46" s="96"/>
      <c r="AD46" s="96"/>
      <c r="AE46" s="96"/>
      <c r="AF46" s="96"/>
      <c r="AG46" s="97"/>
    </row>
    <row r="47" spans="1:33">
      <c r="A47" s="1" t="s">
        <v>127</v>
      </c>
      <c r="B47" s="98"/>
      <c r="C47" s="96"/>
      <c r="D47" s="96"/>
      <c r="E47" s="96"/>
      <c r="F47" s="96"/>
      <c r="G47" s="96"/>
      <c r="H47" s="96"/>
      <c r="I47" s="96"/>
      <c r="J47" s="96"/>
      <c r="K47" s="96"/>
      <c r="L47" s="96"/>
      <c r="M47" s="96"/>
      <c r="N47" s="96"/>
      <c r="O47" s="96"/>
      <c r="P47" s="96"/>
      <c r="Q47" s="96"/>
      <c r="R47" s="96"/>
      <c r="S47" s="96"/>
      <c r="T47" s="96"/>
      <c r="U47" s="96"/>
      <c r="V47" s="96"/>
      <c r="W47" s="96"/>
      <c r="X47" s="96"/>
      <c r="Y47" s="96"/>
      <c r="Z47" s="96"/>
      <c r="AA47" s="96"/>
      <c r="AB47" s="96"/>
      <c r="AC47" s="96"/>
      <c r="AD47" s="96"/>
      <c r="AE47" s="96"/>
      <c r="AF47" s="96"/>
      <c r="AG47" s="97"/>
    </row>
    <row r="48" spans="1:33">
      <c r="A48" s="1" t="s">
        <v>201</v>
      </c>
      <c r="B48" s="94"/>
      <c r="C48" s="95"/>
      <c r="D48" s="95"/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  <c r="AB48" s="95"/>
      <c r="AC48" s="95"/>
      <c r="AD48" s="95"/>
      <c r="AE48" s="95"/>
      <c r="AF48" s="95"/>
      <c r="AG48" s="99"/>
    </row>
    <row r="49" spans="1:33">
      <c r="A49" s="1" t="s">
        <v>202</v>
      </c>
      <c r="B49" s="100"/>
      <c r="C49" s="101"/>
      <c r="D49" s="101"/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  <c r="AC49" s="101"/>
      <c r="AD49" s="101"/>
      <c r="AE49" s="101"/>
      <c r="AF49" s="101"/>
      <c r="AG49" s="102"/>
    </row>
  </sheetData>
  <mergeCells count="3">
    <mergeCell ref="C1:E1"/>
    <mergeCell ref="F1:H1"/>
    <mergeCell ref="A4:A1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ultidimensionalTauParallel">
                <anchor moveWithCells="1" sizeWithCells="1">
                  <from>
                    <xdr:col>1</xdr:col>
                    <xdr:colOff>333375</xdr:colOff>
                    <xdr:row>13</xdr:row>
                    <xdr:rowOff>19050</xdr:rowOff>
                  </from>
                  <to>
                    <xdr:col>2</xdr:col>
                    <xdr:colOff>76200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Measurement models</vt:lpstr>
      <vt:lpstr>Unidimensional</vt:lpstr>
      <vt:lpstr>Bi-factor</vt:lpstr>
      <vt:lpstr>Second-order Factor </vt:lpstr>
      <vt:lpstr>Correlated factors</vt:lpstr>
      <vt:lpstr>Multidimensional Tau-eq</vt:lpstr>
      <vt:lpstr>InputBox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조은성</dc:creator>
  <cp:lastModifiedBy>Augustine</cp:lastModifiedBy>
  <dcterms:created xsi:type="dcterms:W3CDTF">2015-12-15T04:00:28Z</dcterms:created>
  <dcterms:modified xsi:type="dcterms:W3CDTF">2022-10-16T19:33:43Z</dcterms:modified>
</cp:coreProperties>
</file>